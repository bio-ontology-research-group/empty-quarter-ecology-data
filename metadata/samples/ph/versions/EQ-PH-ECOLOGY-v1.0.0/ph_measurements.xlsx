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rip 1" sheetId="2" r:id="rId6"/>
    <sheet state="visible" name="Trip 2" sheetId="3" r:id="rId7"/>
    <sheet state="visible" name="Trip 3" sheetId="4" r:id="rId8"/>
    <sheet state="visible" name="Trip 4" sheetId="5" r:id="rId9"/>
    <sheet state="visible" name="Trip 5" sheetId="6" r:id="rId10"/>
    <sheet state="visible" name="7 Jul — P1 micro (Magnus)" sheetId="7" r:id="rId11"/>
    <sheet state="visible" name="8 Jul — P2 semi (Magnus)" sheetId="8" r:id="rId12"/>
    <sheet state="visible" name="9 Jul — P3 ours (valid)" sheetId="9" r:id="rId13"/>
    <sheet state="visible" name="Method notes" sheetId="10" r:id="rId14"/>
    <sheet state="visible" name="1g Reference (log)" sheetId="11" r:id="rId15"/>
    <sheet state="visible" name="Replicate test (log)" sheetId="12" r:id="rId16"/>
  </sheets>
  <definedNames/>
  <calcPr/>
</workbook>
</file>

<file path=xl/sharedStrings.xml><?xml version="1.0" encoding="utf-8"?>
<sst xmlns="http://schemas.openxmlformats.org/spreadsheetml/2006/main" count="3543" uniqueCount="1389">
  <si>
    <t>Sample ID</t>
  </si>
  <si>
    <t>pH validation — summary of runs</t>
  </si>
  <si>
    <t>Site</t>
  </si>
  <si>
    <t>All measurements at fixed 1:2.5 ratio in 0.01 M CaCl₂. Reference soil established value: 8.03 ± 0.11 (5 g).</t>
  </si>
  <si>
    <t>Compartment</t>
  </si>
  <si>
    <t>Rep</t>
  </si>
  <si>
    <t>Date</t>
  </si>
  <si>
    <t>Calibration</t>
  </si>
  <si>
    <t>Slope %</t>
  </si>
  <si>
    <t>Instruments used</t>
  </si>
  <si>
    <t>pH 10 check</t>
  </si>
  <si>
    <t>pH reading</t>
  </si>
  <si>
    <t>Probe</t>
  </si>
  <si>
    <t>Notes</t>
  </si>
  <si>
    <t>T1Dr1</t>
  </si>
  <si>
    <t>Lab</t>
  </si>
  <si>
    <t>Type</t>
  </si>
  <si>
    <t>Slope</t>
  </si>
  <si>
    <t>Condition</t>
  </si>
  <si>
    <t>Deep</t>
  </si>
  <si>
    <t>Verdict</t>
  </si>
  <si>
    <t>13/7/2026</t>
  </si>
  <si>
    <t>F1Sr1</t>
  </si>
  <si>
    <t>Yes</t>
  </si>
  <si>
    <t>Probe 1</t>
  </si>
  <si>
    <t>Collaborating lab (Prof. Magnus)</t>
  </si>
  <si>
    <t>Microelectrode</t>
  </si>
  <si>
    <t>92%</t>
  </si>
  <si>
    <t>Surface</t>
  </si>
  <si>
    <t>Cracked glass, low slope</t>
  </si>
  <si>
    <t>Faulty — readings not trusted</t>
  </si>
  <si>
    <t>T2PRr1</t>
  </si>
  <si>
    <t>Probe 2</t>
  </si>
  <si>
    <t>Semi-micro</t>
  </si>
  <si>
    <t>97%</t>
  </si>
  <si>
    <t>Healthy slope</t>
  </si>
  <si>
    <t>Rhizosphere</t>
  </si>
  <si>
    <t>Reads ~0.28 low vs reference</t>
  </si>
  <si>
    <t>Probe 3</t>
  </si>
  <si>
    <t>Our lab</t>
  </si>
  <si>
    <t>Regular combination (accumet AB315)</t>
  </si>
  <si>
    <t>92.9–98.8%*</t>
  </si>
  <si>
    <t>pH 10 check: 10.07 / 10.06 / 10.08</t>
  </si>
  <si>
    <t>Validated — used for final data</t>
  </si>
  <si>
    <t>* The meter's slope field displayed inconsistently without recalibration; the pH 10 check standard was used as the operative validity criterion.</t>
  </si>
  <si>
    <t>F1Sr2</t>
  </si>
  <si>
    <t>Timeline</t>
  </si>
  <si>
    <t>Lab / probe</t>
  </si>
  <si>
    <t>What was done</t>
  </si>
  <si>
    <t>T2PRr3</t>
  </si>
  <si>
    <t>F1Sr3</t>
  </si>
  <si>
    <t>7 July 2026</t>
  </si>
  <si>
    <t>Magnus lab, Probe 1 (micro)</t>
  </si>
  <si>
    <t>Reference soil mass series (1 / 2 / 5 g), triplicate. Probe later found cracked — absolute values not trusted.</t>
  </si>
  <si>
    <t>8 July 2026</t>
  </si>
  <si>
    <t>Magnus lab, Probe 2 (semi-micro)</t>
  </si>
  <si>
    <t>Reference soil + A1, A8 at 1 / 2 / 5 g. Readings low; leftover vs fresh CaCl₂ tested to rule out the electrolyte.</t>
  </si>
  <si>
    <t>T2Dr2</t>
  </si>
  <si>
    <t>9 July 2026</t>
  </si>
  <si>
    <t>Our lab, Probe 3 (regular)</t>
  </si>
  <si>
    <t>F1Dr1</t>
  </si>
  <si>
    <t>Reference soil validated at 8.03 (50 mL, triplicate); 15 mL tube check; 1 g vs 5 g mass comparison.</t>
  </si>
  <si>
    <t>Key findings</t>
  </si>
  <si>
    <t>•  Reference soil on our validated probe (5 g): mean 8.03, SD 0.05 — matches established 8.03 ± 0.11.</t>
  </si>
  <si>
    <t>T3Dr2</t>
  </si>
  <si>
    <t>•  The semi-micro probe (Magnus lab) reads ~0.28 low on the same reference soil — an instrument offset, not a sample effect.</t>
  </si>
  <si>
    <t>•  CaCl₂ ruled out: fresh 0.01 M did not restore the expected value on the low-reading probe.</t>
  </si>
  <si>
    <t>•  Vessel geometry ruled out: 5 g gave 8.03 (50 mL tube) and 8.08 (15 mL tube).</t>
  </si>
  <si>
    <t>F1Dr2</t>
  </si>
  <si>
    <t>•  1 g bias: with immersion resolved, 1 g reads ~0.15 below 5 g (7.93, SD 0.00). The same downward direction appeared on 7 July (−0.28), on a different electrode.</t>
  </si>
  <si>
    <t>•  Biological replicates (~0.15) scatter more than technical re-reads (~0.05): subsampling dominates, not the meter.</t>
  </si>
  <si>
    <t>-</t>
  </si>
  <si>
    <t>Proposed next step</t>
  </si>
  <si>
    <t>Depleted</t>
  </si>
  <si>
    <t>T4Sr1</t>
  </si>
  <si>
    <t>Samples are limited to 1 g. Rather than carrying a correction factor through the dataset, characterise a new reference batch directly at 1 g on our validated electrode (~10 fresh subsamples across ≥3 days and ≥2 calibrations), running a few 5 g scoops alongside to confirm the mass offset independently. The previously characterised batch is exhausted.</t>
  </si>
  <si>
    <t>Empty Quarter — pH measurement log (by trip)</t>
  </si>
  <si>
    <t>• Sample counts — Trip 1: 330, Trip 2: 27, Trip 3: 450, Trip 4: 177, Trip 5: 234.</t>
  </si>
  <si>
    <t>F1Dr3</t>
  </si>
  <si>
    <t>T4PRr1</t>
  </si>
  <si>
    <t>F1PRr1</t>
  </si>
  <si>
    <t>T4PRr2</t>
  </si>
  <si>
    <t>F1PRr2</t>
  </si>
  <si>
    <t>F1PRr3</t>
  </si>
  <si>
    <t>T5Sr1</t>
  </si>
  <si>
    <t>T5Sr2</t>
  </si>
  <si>
    <t>T5Sr3</t>
  </si>
  <si>
    <t>F5Sr1</t>
  </si>
  <si>
    <t>T5PRr1</t>
  </si>
  <si>
    <t>T6Sr3</t>
  </si>
  <si>
    <t>F5Sr2</t>
  </si>
  <si>
    <t>T6Dr1</t>
  </si>
  <si>
    <t>F5Sr3</t>
  </si>
  <si>
    <t>T6Dr2</t>
  </si>
  <si>
    <t>F5Dr2</t>
  </si>
  <si>
    <t>T6PRr2</t>
  </si>
  <si>
    <t>F5Dr3</t>
  </si>
  <si>
    <t>T6PRr3</t>
  </si>
  <si>
    <t>T7PRr1</t>
  </si>
  <si>
    <t>F5PRr2</t>
  </si>
  <si>
    <t>T7PRr2</t>
  </si>
  <si>
    <t>F6Sr1</t>
  </si>
  <si>
    <t>T7PRr3</t>
  </si>
  <si>
    <t>T7Dr3</t>
  </si>
  <si>
    <t>F6Sr2</t>
  </si>
  <si>
    <t>T8Sr3</t>
  </si>
  <si>
    <t>F6Sr3</t>
  </si>
  <si>
    <t>T8Dr1</t>
  </si>
  <si>
    <t>F6Dr1</t>
  </si>
  <si>
    <t>T8Dr3</t>
  </si>
  <si>
    <t>T8PRr1</t>
  </si>
  <si>
    <t>F6PRr1</t>
  </si>
  <si>
    <t>T8PRr3</t>
  </si>
  <si>
    <t>F6PRr2</t>
  </si>
  <si>
    <t>F6PRr3</t>
  </si>
  <si>
    <t>1Sr1</t>
  </si>
  <si>
    <t>F7Sr1</t>
  </si>
  <si>
    <t>F7Sr2</t>
  </si>
  <si>
    <t>1Sr2</t>
  </si>
  <si>
    <t>S1Sr1</t>
  </si>
  <si>
    <t>F7Sr3</t>
  </si>
  <si>
    <t>1Sr3</t>
  </si>
  <si>
    <t>S1Dr1</t>
  </si>
  <si>
    <t>1Dr1</t>
  </si>
  <si>
    <t>F7Dr1</t>
  </si>
  <si>
    <t>S1PRr1</t>
  </si>
  <si>
    <t>1Dr2</t>
  </si>
  <si>
    <t>F7Dr2</t>
  </si>
  <si>
    <t>S2Sr1</t>
  </si>
  <si>
    <t>1Dr3</t>
  </si>
  <si>
    <t>F7Dr3</t>
  </si>
  <si>
    <t>1PRr2</t>
  </si>
  <si>
    <t>S2Dr1</t>
  </si>
  <si>
    <t>F7PRr1</t>
  </si>
  <si>
    <t>1PRr3</t>
  </si>
  <si>
    <t>S3Sr1</t>
  </si>
  <si>
    <t>F7PRr2</t>
  </si>
  <si>
    <t>2Sr1</t>
  </si>
  <si>
    <t>S3Dr1</t>
  </si>
  <si>
    <t>F7PRr3</t>
  </si>
  <si>
    <t>2Sr3</t>
  </si>
  <si>
    <t>F8Sr1</t>
  </si>
  <si>
    <t>S3PRr1</t>
  </si>
  <si>
    <t>2Dr1</t>
  </si>
  <si>
    <t>S4Sr1</t>
  </si>
  <si>
    <t>2Dr2</t>
  </si>
  <si>
    <t>F8Sr2</t>
  </si>
  <si>
    <t>V1Dr1</t>
  </si>
  <si>
    <t>2Dr3</t>
  </si>
  <si>
    <t>S4Dr1</t>
  </si>
  <si>
    <t>V1Dr3</t>
  </si>
  <si>
    <t>F8Sr3</t>
  </si>
  <si>
    <t>2PRr1</t>
  </si>
  <si>
    <t>S4PRr1</t>
  </si>
  <si>
    <t>V1PRr1</t>
  </si>
  <si>
    <t>2PRr2</t>
  </si>
  <si>
    <t>F8Dr1</t>
  </si>
  <si>
    <t>V1PRr2</t>
  </si>
  <si>
    <t>S5Sr1</t>
  </si>
  <si>
    <t>3Sr1</t>
  </si>
  <si>
    <t>V1PRr3</t>
  </si>
  <si>
    <t>S5Dr1</t>
  </si>
  <si>
    <t>3Sr3</t>
  </si>
  <si>
    <t>F8Dr2</t>
  </si>
  <si>
    <t>V2Sr1</t>
  </si>
  <si>
    <t>3Dr2</t>
  </si>
  <si>
    <t>S5PRr1</t>
  </si>
  <si>
    <t>V2Sr2</t>
  </si>
  <si>
    <t>F8Dr3</t>
  </si>
  <si>
    <t>3Dr3</t>
  </si>
  <si>
    <t>V2Dr1</t>
  </si>
  <si>
    <t>S6Sr1</t>
  </si>
  <si>
    <t>F8PRr1</t>
  </si>
  <si>
    <t>3PRr1</t>
  </si>
  <si>
    <t>V2Dr2</t>
  </si>
  <si>
    <t>F8PRr2</t>
  </si>
  <si>
    <t>S6Dr1</t>
  </si>
  <si>
    <t>V2PRr1</t>
  </si>
  <si>
    <t>F8PRr3</t>
  </si>
  <si>
    <t>3PRr2</t>
  </si>
  <si>
    <t>S6PRr1</t>
  </si>
  <si>
    <t>V2PRr2</t>
  </si>
  <si>
    <t>F9Sr1</t>
  </si>
  <si>
    <t>3PRr3</t>
  </si>
  <si>
    <t>V2PRr3</t>
  </si>
  <si>
    <t>S7Sr1</t>
  </si>
  <si>
    <t>4Sr1</t>
  </si>
  <si>
    <t>V3PRr1</t>
  </si>
  <si>
    <t>F9Sr2</t>
  </si>
  <si>
    <t>4Dr1</t>
  </si>
  <si>
    <t>S7Dr1</t>
  </si>
  <si>
    <t>F9Sr3</t>
  </si>
  <si>
    <t>V3PRr2</t>
  </si>
  <si>
    <t>4Dr2</t>
  </si>
  <si>
    <t>F9Dr1</t>
  </si>
  <si>
    <t>S7PRr1</t>
  </si>
  <si>
    <t>4Dr3</t>
  </si>
  <si>
    <t>V3PRr3</t>
  </si>
  <si>
    <t>F9Dr2</t>
  </si>
  <si>
    <t>S8Sr1</t>
  </si>
  <si>
    <t>4PRr1</t>
  </si>
  <si>
    <t>V4Sr1</t>
  </si>
  <si>
    <t>F9Dr3</t>
  </si>
  <si>
    <t>4PRr2</t>
  </si>
  <si>
    <t>V4Sr3</t>
  </si>
  <si>
    <t>S8Dr1</t>
  </si>
  <si>
    <t>F9PRr1</t>
  </si>
  <si>
    <t>4PRr3</t>
  </si>
  <si>
    <t>V4Dr1</t>
  </si>
  <si>
    <t>S8PRr1</t>
  </si>
  <si>
    <t>5Sr1</t>
  </si>
  <si>
    <t>V4Dr2</t>
  </si>
  <si>
    <t>F9PRr2</t>
  </si>
  <si>
    <t>V4Dr3</t>
  </si>
  <si>
    <t>5Sr2</t>
  </si>
  <si>
    <t>S9Sr1</t>
  </si>
  <si>
    <t>F9PRr3</t>
  </si>
  <si>
    <t>V4PRr1</t>
  </si>
  <si>
    <t>5Sr3</t>
  </si>
  <si>
    <t>S9Dr1</t>
  </si>
  <si>
    <t>F10Sr1</t>
  </si>
  <si>
    <t>V4PRr2</t>
  </si>
  <si>
    <t>5Dr1</t>
  </si>
  <si>
    <t>F10Sr2</t>
  </si>
  <si>
    <t>S9PRr1</t>
  </si>
  <si>
    <t>V4PRr3</t>
  </si>
  <si>
    <t>5Dr2</t>
  </si>
  <si>
    <t>F10Sr3</t>
  </si>
  <si>
    <t>V5Sr1</t>
  </si>
  <si>
    <t>6Sr1</t>
  </si>
  <si>
    <t>F10Dr1</t>
  </si>
  <si>
    <t>V5Sr3</t>
  </si>
  <si>
    <t>S10Sr1</t>
  </si>
  <si>
    <t>6Sr2</t>
  </si>
  <si>
    <t>V5Dr1</t>
  </si>
  <si>
    <t>F10Dr2</t>
  </si>
  <si>
    <t>6Dr1</t>
  </si>
  <si>
    <t>V5PRr1</t>
  </si>
  <si>
    <t>F10Dr3</t>
  </si>
  <si>
    <t>S10Dr1</t>
  </si>
  <si>
    <t>V5PRr2</t>
  </si>
  <si>
    <t>6Dr3</t>
  </si>
  <si>
    <t>V5PRr3</t>
  </si>
  <si>
    <t>F10PRr1</t>
  </si>
  <si>
    <t>6PRr1</t>
  </si>
  <si>
    <t>V6Sr1</t>
  </si>
  <si>
    <t>S10PRr1</t>
  </si>
  <si>
    <t>F10PRr2</t>
  </si>
  <si>
    <t>6PRr2</t>
  </si>
  <si>
    <t>V6Sr3</t>
  </si>
  <si>
    <t>F11Sr1</t>
  </si>
  <si>
    <t>S11Sr1</t>
  </si>
  <si>
    <t>7Sr1</t>
  </si>
  <si>
    <t>V6Dr1</t>
  </si>
  <si>
    <t>V6PRr1</t>
  </si>
  <si>
    <t>7Sr2</t>
  </si>
  <si>
    <t>F11Sr2</t>
  </si>
  <si>
    <t>V6PRr2</t>
  </si>
  <si>
    <t>S11Dr1</t>
  </si>
  <si>
    <t>7Dr1</t>
  </si>
  <si>
    <t>F11Sr3</t>
  </si>
  <si>
    <t>V6PRr3</t>
  </si>
  <si>
    <t>7Dr2</t>
  </si>
  <si>
    <t>F11Dr1</t>
  </si>
  <si>
    <t>S11PRr1</t>
  </si>
  <si>
    <t>V7Dr1</t>
  </si>
  <si>
    <t>V7Dr3</t>
  </si>
  <si>
    <t>F11Dr2</t>
  </si>
  <si>
    <t>7PRr2</t>
  </si>
  <si>
    <t>V7PRr1</t>
  </si>
  <si>
    <t>S12Sr1</t>
  </si>
  <si>
    <t>V7PRr2</t>
  </si>
  <si>
    <t>F11Dr3</t>
  </si>
  <si>
    <t>8Sr2</t>
  </si>
  <si>
    <t>V7PRr3</t>
  </si>
  <si>
    <t>F11PRr1</t>
  </si>
  <si>
    <t>S12Dr1</t>
  </si>
  <si>
    <t>8Sr3</t>
  </si>
  <si>
    <t>V8Dr3</t>
  </si>
  <si>
    <t>8PRr1</t>
  </si>
  <si>
    <t>F11PRr2</t>
  </si>
  <si>
    <t>V8PRr1</t>
  </si>
  <si>
    <t>S12PRr1</t>
  </si>
  <si>
    <t>V8PRr2</t>
  </si>
  <si>
    <t>F11PRr3</t>
  </si>
  <si>
    <t>8PRr2</t>
  </si>
  <si>
    <t>V8PRr3</t>
  </si>
  <si>
    <t>S13Sr1</t>
  </si>
  <si>
    <t>F12Sr2</t>
  </si>
  <si>
    <t>8PRr3</t>
  </si>
  <si>
    <t>V9PRr1</t>
  </si>
  <si>
    <t>9Sr1</t>
  </si>
  <si>
    <t>V9PRr2</t>
  </si>
  <si>
    <t>S13Dr1</t>
  </si>
  <si>
    <t>F12Sr3</t>
  </si>
  <si>
    <t>9Sr2</t>
  </si>
  <si>
    <t>V9PRr3</t>
  </si>
  <si>
    <t>F12Dr1</t>
  </si>
  <si>
    <t>S13PRr1</t>
  </si>
  <si>
    <t>9Sr3</t>
  </si>
  <si>
    <t>V10Dr1</t>
  </si>
  <si>
    <t>F12Dr2</t>
  </si>
  <si>
    <t>9Dr1</t>
  </si>
  <si>
    <t>V10PRr2</t>
  </si>
  <si>
    <t>S14Sr1</t>
  </si>
  <si>
    <t>F12PRr1</t>
  </si>
  <si>
    <t>V11Sr2</t>
  </si>
  <si>
    <t>9Dr3</t>
  </si>
  <si>
    <t>F12PRr2</t>
  </si>
  <si>
    <t>V11Dr3</t>
  </si>
  <si>
    <t>S14Dr1</t>
  </si>
  <si>
    <t>9PRr2</t>
  </si>
  <si>
    <t>V11PRr2</t>
  </si>
  <si>
    <t>F12PRr3</t>
  </si>
  <si>
    <t>9PRr3</t>
  </si>
  <si>
    <t>S14PRr1</t>
  </si>
  <si>
    <t>V11PRr3</t>
  </si>
  <si>
    <t>F13Sr1</t>
  </si>
  <si>
    <t>10Sr2</t>
  </si>
  <si>
    <t>V12Sr1</t>
  </si>
  <si>
    <t>S15Sr1</t>
  </si>
  <si>
    <t>F13Sr2</t>
  </si>
  <si>
    <t>V12Sr3</t>
  </si>
  <si>
    <t>10Sr3</t>
  </si>
  <si>
    <t>F13Sr3</t>
  </si>
  <si>
    <t>S15Dr1</t>
  </si>
  <si>
    <t>V12Dr3</t>
  </si>
  <si>
    <t>10Dr2</t>
  </si>
  <si>
    <t>F13Dr1</t>
  </si>
  <si>
    <t>V12PRr1</t>
  </si>
  <si>
    <t>S15PRr1</t>
  </si>
  <si>
    <t>10PRr2</t>
  </si>
  <si>
    <t>V12PRr2</t>
  </si>
  <si>
    <t>F13Dr2</t>
  </si>
  <si>
    <t>10PRr3</t>
  </si>
  <si>
    <t>V12PRr3</t>
  </si>
  <si>
    <t>S16Sr1</t>
  </si>
  <si>
    <t>F13Dr3</t>
  </si>
  <si>
    <t>11Sr2</t>
  </si>
  <si>
    <t>V13Sr3</t>
  </si>
  <si>
    <t>F13PRr1</t>
  </si>
  <si>
    <t>S16Dr1</t>
  </si>
  <si>
    <t>V13PRr1</t>
  </si>
  <si>
    <t>11Dr1</t>
  </si>
  <si>
    <t>V13PRr2</t>
  </si>
  <si>
    <t>F13PRr2</t>
  </si>
  <si>
    <t>S16PRr1</t>
  </si>
  <si>
    <t>11Dr3</t>
  </si>
  <si>
    <t>V14Sr1</t>
  </si>
  <si>
    <t>F13PRr3</t>
  </si>
  <si>
    <t>11PRr1</t>
  </si>
  <si>
    <t>V14Dr3</t>
  </si>
  <si>
    <t>F14Sr1</t>
  </si>
  <si>
    <t>S17Sr1</t>
  </si>
  <si>
    <t>V14PRr1</t>
  </si>
  <si>
    <t>11PRr2</t>
  </si>
  <si>
    <t>F14Sr2</t>
  </si>
  <si>
    <t>V14PRr2</t>
  </si>
  <si>
    <t>11PRr3</t>
  </si>
  <si>
    <t>S17Dr1</t>
  </si>
  <si>
    <t>F14Sr3</t>
  </si>
  <si>
    <t>V14PRr3</t>
  </si>
  <si>
    <t>12Sr1</t>
  </si>
  <si>
    <t>F14Dr1</t>
  </si>
  <si>
    <t>S17PRr1</t>
  </si>
  <si>
    <t>V15Sr1</t>
  </si>
  <si>
    <t>12Sr2</t>
  </si>
  <si>
    <t>F14Dr2</t>
  </si>
  <si>
    <t>V15Sr2</t>
  </si>
  <si>
    <t>S18Sr1</t>
  </si>
  <si>
    <t>12Sr3</t>
  </si>
  <si>
    <t>V15Dr1</t>
  </si>
  <si>
    <t>F14Dr3</t>
  </si>
  <si>
    <t>12Dr2</t>
  </si>
  <si>
    <t>V15Dr2</t>
  </si>
  <si>
    <t>F14PRr1</t>
  </si>
  <si>
    <t>S18Dr1</t>
  </si>
  <si>
    <t>12Dr3</t>
  </si>
  <si>
    <t>F14PRr2</t>
  </si>
  <si>
    <t>12PRr1</t>
  </si>
  <si>
    <t>V15Dr3</t>
  </si>
  <si>
    <t>S18PRr1</t>
  </si>
  <si>
    <t>12PRr3</t>
  </si>
  <si>
    <t>F14PRr3</t>
  </si>
  <si>
    <t>V15PRr1</t>
  </si>
  <si>
    <t>13Sr2</t>
  </si>
  <si>
    <t>S19Sr1</t>
  </si>
  <si>
    <t>F15Sr1</t>
  </si>
  <si>
    <t>V15PRr2</t>
  </si>
  <si>
    <t>13Dr1</t>
  </si>
  <si>
    <t>V15PRr3</t>
  </si>
  <si>
    <t>S19Dr1</t>
  </si>
  <si>
    <t>13Dr3</t>
  </si>
  <si>
    <t>F15Sr2</t>
  </si>
  <si>
    <t>V16Sr1</t>
  </si>
  <si>
    <t>14Sr2</t>
  </si>
  <si>
    <t>S19PRr1</t>
  </si>
  <si>
    <t>variant: O</t>
  </si>
  <si>
    <t>F15Sr3</t>
  </si>
  <si>
    <t>V16Dr1</t>
  </si>
  <si>
    <t>14Dr1</t>
  </si>
  <si>
    <t>F15Dr1</t>
  </si>
  <si>
    <t>S20Sr1</t>
  </si>
  <si>
    <t>14Dr2</t>
  </si>
  <si>
    <t>V16Dr3</t>
  </si>
  <si>
    <t>F15Dr2</t>
  </si>
  <si>
    <t>V16PRr1</t>
  </si>
  <si>
    <t>S20Dr1</t>
  </si>
  <si>
    <t>14Dr3</t>
  </si>
  <si>
    <t>F15Dr3</t>
  </si>
  <si>
    <t>V16PRr2</t>
  </si>
  <si>
    <t>14PRr1</t>
  </si>
  <si>
    <t>F15PRr1</t>
  </si>
  <si>
    <t>S20PRr1</t>
  </si>
  <si>
    <t>V16PRr3</t>
  </si>
  <si>
    <t>14PRr2</t>
  </si>
  <si>
    <t>F15PRr2</t>
  </si>
  <si>
    <t>S21Sr1</t>
  </si>
  <si>
    <t>15Sr1</t>
  </si>
  <si>
    <t>V17Dr1</t>
  </si>
  <si>
    <t>F15PRr3</t>
  </si>
  <si>
    <t>15Sr3</t>
  </si>
  <si>
    <t>S21Dr1</t>
  </si>
  <si>
    <t>F16Sr1</t>
  </si>
  <si>
    <t>15Dr1</t>
  </si>
  <si>
    <t>V17Dr2</t>
  </si>
  <si>
    <t>F16Sr2</t>
  </si>
  <si>
    <t>15Dr3</t>
  </si>
  <si>
    <t>S21PRr1</t>
  </si>
  <si>
    <t>F16Sr3</t>
  </si>
  <si>
    <t>15PRr1</t>
  </si>
  <si>
    <t>V17PRr1</t>
  </si>
  <si>
    <t>S22Sr1</t>
  </si>
  <si>
    <t>F16Dr1</t>
  </si>
  <si>
    <t>15PRr2</t>
  </si>
  <si>
    <t>15PRr3</t>
  </si>
  <si>
    <t>F16Dr2</t>
  </si>
  <si>
    <t>V17PRr2</t>
  </si>
  <si>
    <t>S22Dr1</t>
  </si>
  <si>
    <t>16Sr1</t>
  </si>
  <si>
    <t>F16Dr3</t>
  </si>
  <si>
    <t>16Dr1</t>
  </si>
  <si>
    <t>S22PRr1</t>
  </si>
  <si>
    <t>V17PRr3</t>
  </si>
  <si>
    <t>F16PRr1</t>
  </si>
  <si>
    <t>16Dr3</t>
  </si>
  <si>
    <t>V18PRr2</t>
  </si>
  <si>
    <t>F16PRr2</t>
  </si>
  <si>
    <t>S23Sr1</t>
  </si>
  <si>
    <t>16PRr1</t>
  </si>
  <si>
    <t>V18PRr3</t>
  </si>
  <si>
    <t>F16PRr3</t>
  </si>
  <si>
    <t>16PRr2</t>
  </si>
  <si>
    <t>S23Dr1</t>
  </si>
  <si>
    <t>V19Sr3</t>
  </si>
  <si>
    <t>F17Sr1</t>
  </si>
  <si>
    <t>16PRr3</t>
  </si>
  <si>
    <t>17Sr1</t>
  </si>
  <si>
    <t>F17Sr2</t>
  </si>
  <si>
    <t>S23PRr1</t>
  </si>
  <si>
    <t>17Sr2</t>
  </si>
  <si>
    <t>F17Sr3</t>
  </si>
  <si>
    <t>V19Dr2</t>
  </si>
  <si>
    <t>17Sr3</t>
  </si>
  <si>
    <t>S24Sr1</t>
  </si>
  <si>
    <t>V19Dr3</t>
  </si>
  <si>
    <t>17Dr1</t>
  </si>
  <si>
    <t>F17Dr1</t>
  </si>
  <si>
    <t>V19PRr1</t>
  </si>
  <si>
    <t>17Dr2</t>
  </si>
  <si>
    <t>S24Dr1</t>
  </si>
  <si>
    <t>F17Dr2</t>
  </si>
  <si>
    <t>V19PRr2</t>
  </si>
  <si>
    <t>17Dr3</t>
  </si>
  <si>
    <t>V19PRr3</t>
  </si>
  <si>
    <t>F17Dr3</t>
  </si>
  <si>
    <t>V20Sr2</t>
  </si>
  <si>
    <t>S24PRr1</t>
  </si>
  <si>
    <t>17PRr2</t>
  </si>
  <si>
    <t>V20PRr1</t>
  </si>
  <si>
    <t>17PRr3</t>
  </si>
  <si>
    <t>V20PRr2</t>
  </si>
  <si>
    <t>F17PRr1</t>
  </si>
  <si>
    <t>S25Sr1</t>
  </si>
  <si>
    <t>V20PRr3</t>
  </si>
  <si>
    <t>18Sr1</t>
  </si>
  <si>
    <t>V21Sr3</t>
  </si>
  <si>
    <t>F17PRr2</t>
  </si>
  <si>
    <t>18Sr2</t>
  </si>
  <si>
    <t>S25Dr1</t>
  </si>
  <si>
    <t>V21Dr1</t>
  </si>
  <si>
    <t>F17PRr3</t>
  </si>
  <si>
    <t>18Dr2</t>
  </si>
  <si>
    <t>V21Dr2</t>
  </si>
  <si>
    <t>S25PRr1</t>
  </si>
  <si>
    <t>F18Sr1</t>
  </si>
  <si>
    <t>18PRr1</t>
  </si>
  <si>
    <t>V21PRr1</t>
  </si>
  <si>
    <t>18PRr2</t>
  </si>
  <si>
    <t>F18Sr2</t>
  </si>
  <si>
    <t>V21PRr2</t>
  </si>
  <si>
    <t>S26Sr1</t>
  </si>
  <si>
    <t>V21PRr3</t>
  </si>
  <si>
    <t>19Sr1</t>
  </si>
  <si>
    <t>F18Sr3</t>
  </si>
  <si>
    <t>V22PRr2</t>
  </si>
  <si>
    <t>19Sr3</t>
  </si>
  <si>
    <t>S26Dr1</t>
  </si>
  <si>
    <t>V23Dr1</t>
  </si>
  <si>
    <t>F18Dr1</t>
  </si>
  <si>
    <t>19Dr2</t>
  </si>
  <si>
    <t>V23PRr1</t>
  </si>
  <si>
    <t>F18Dr2</t>
  </si>
  <si>
    <t>S26PRr1</t>
  </si>
  <si>
    <t>V23PRr2</t>
  </si>
  <si>
    <t>19Dr3</t>
  </si>
  <si>
    <t>V24Dr1</t>
  </si>
  <si>
    <t>20Sr1</t>
  </si>
  <si>
    <t>F18Dr3</t>
  </si>
  <si>
    <t>S27Sr1</t>
  </si>
  <si>
    <t>V24PRr1</t>
  </si>
  <si>
    <t>20Sr3</t>
  </si>
  <si>
    <t>V24PRr3</t>
  </si>
  <si>
    <t>F18PRr1</t>
  </si>
  <si>
    <t>S27Dr1</t>
  </si>
  <si>
    <t>20Dr1</t>
  </si>
  <si>
    <t>V25Sr2</t>
  </si>
  <si>
    <t>F18PRr2</t>
  </si>
  <si>
    <t>V25Sr3</t>
  </si>
  <si>
    <t>20Dr2</t>
  </si>
  <si>
    <t>F18PRr3</t>
  </si>
  <si>
    <t>S27PRr1</t>
  </si>
  <si>
    <t>V25Dr3</t>
  </si>
  <si>
    <t>F19Sr1</t>
  </si>
  <si>
    <t>20PRr1</t>
  </si>
  <si>
    <t>V25PRr1</t>
  </si>
  <si>
    <t>S28Sr1</t>
  </si>
  <si>
    <t>F19Sr2</t>
  </si>
  <si>
    <t>20PRr2</t>
  </si>
  <si>
    <t>V25PRr2</t>
  </si>
  <si>
    <t>F19Sr3</t>
  </si>
  <si>
    <t>21Sr1</t>
  </si>
  <si>
    <t>S28Dr2</t>
  </si>
  <si>
    <t>V25PRr3</t>
  </si>
  <si>
    <t>F19Dr1</t>
  </si>
  <si>
    <t>21Sr2</t>
  </si>
  <si>
    <t>V26Sr2</t>
  </si>
  <si>
    <t>V26Dr2</t>
  </si>
  <si>
    <t>21Sr3</t>
  </si>
  <si>
    <t>F19Dr2</t>
  </si>
  <si>
    <t>S28PRr1</t>
  </si>
  <si>
    <t>V26Dr3</t>
  </si>
  <si>
    <t>21Dr1</t>
  </si>
  <si>
    <t>V26PRr1</t>
  </si>
  <si>
    <t>F19Dr3</t>
  </si>
  <si>
    <t>22Sr1</t>
  </si>
  <si>
    <t>S29Sr1</t>
  </si>
  <si>
    <t>V26PRr2</t>
  </si>
  <si>
    <t>22Sr3</t>
  </si>
  <si>
    <t>F19PRr1</t>
  </si>
  <si>
    <t>V27Dr2</t>
  </si>
  <si>
    <t>22Dr1</t>
  </si>
  <si>
    <t>S29Dr1</t>
  </si>
  <si>
    <t>V27Dr3</t>
  </si>
  <si>
    <t>F19PRr2</t>
  </si>
  <si>
    <t>22Dr2</t>
  </si>
  <si>
    <t>V27PRr1</t>
  </si>
  <si>
    <t>22Dr3</t>
  </si>
  <si>
    <t>F19PRr3</t>
  </si>
  <si>
    <t>S29PRr1</t>
  </si>
  <si>
    <t>V27PRr2</t>
  </si>
  <si>
    <t>22PRr1</t>
  </si>
  <si>
    <t>F20Sr2</t>
  </si>
  <si>
    <t>V27PRr3</t>
  </si>
  <si>
    <t>22PRr3</t>
  </si>
  <si>
    <t>V28Dr1</t>
  </si>
  <si>
    <t>S30Sr1</t>
  </si>
  <si>
    <t>F20Sr3</t>
  </si>
  <si>
    <t>23Sr1</t>
  </si>
  <si>
    <t>V28Dr3</t>
  </si>
  <si>
    <t>F20Dr1</t>
  </si>
  <si>
    <t>23Sr2</t>
  </si>
  <si>
    <t>V28PRr1</t>
  </si>
  <si>
    <t>S30Dr1</t>
  </si>
  <si>
    <t>23Sr3</t>
  </si>
  <si>
    <t>F20Dr2</t>
  </si>
  <si>
    <t>V28PRr2</t>
  </si>
  <si>
    <t>V28PRr3</t>
  </si>
  <si>
    <t>23Dr1</t>
  </si>
  <si>
    <t>S30PRr1</t>
  </si>
  <si>
    <t>F20Dr3</t>
  </si>
  <si>
    <t>V29PRr2</t>
  </si>
  <si>
    <t>F20PRr1</t>
  </si>
  <si>
    <t>23Dr3</t>
  </si>
  <si>
    <t>V29PRr3</t>
  </si>
  <si>
    <t>S31Sr1</t>
  </si>
  <si>
    <t>V30Sr2</t>
  </si>
  <si>
    <t>F20PRr2</t>
  </si>
  <si>
    <t>23PRr1</t>
  </si>
  <si>
    <t>V30PRr1</t>
  </si>
  <si>
    <t>F20PRr3</t>
  </si>
  <si>
    <t>23PRr2</t>
  </si>
  <si>
    <t>S31Dr1</t>
  </si>
  <si>
    <t>V30PRr2</t>
  </si>
  <si>
    <t>F21Sr1</t>
  </si>
  <si>
    <t>V30PRr3</t>
  </si>
  <si>
    <t>23PRr3</t>
  </si>
  <si>
    <t>V31Dr1</t>
  </si>
  <si>
    <t>F21Sr2</t>
  </si>
  <si>
    <t>S31PRr1</t>
  </si>
  <si>
    <t>24Sr1</t>
  </si>
  <si>
    <t>V31Dr3</t>
  </si>
  <si>
    <t>F21Sr3</t>
  </si>
  <si>
    <t>24Sr2</t>
  </si>
  <si>
    <t>V32PRr1</t>
  </si>
  <si>
    <t>F21Dr1</t>
  </si>
  <si>
    <t>S32Sr1</t>
  </si>
  <si>
    <t>V32PRr2</t>
  </si>
  <si>
    <t>F21Dr2</t>
  </si>
  <si>
    <t>24Dr1</t>
  </si>
  <si>
    <t>V32PRr3</t>
  </si>
  <si>
    <t>S32Dr1</t>
  </si>
  <si>
    <t>V33PRr1</t>
  </si>
  <si>
    <t>24Dr2</t>
  </si>
  <si>
    <t>F21Dr3</t>
  </si>
  <si>
    <t>V33PRr2</t>
  </si>
  <si>
    <t>24PRr2</t>
  </si>
  <si>
    <t>S32PRr1</t>
  </si>
  <si>
    <t>F21PRr1</t>
  </si>
  <si>
    <t>V33PRr3</t>
  </si>
  <si>
    <t>V34Dr2</t>
  </si>
  <si>
    <t>25Sr1</t>
  </si>
  <si>
    <t>F21PRr2</t>
  </si>
  <si>
    <t>V34PRr1</t>
  </si>
  <si>
    <t>S33Sr1</t>
  </si>
  <si>
    <t>F21PRr3</t>
  </si>
  <si>
    <t>25Sr2</t>
  </si>
  <si>
    <t>V34PRr2</t>
  </si>
  <si>
    <t>F22Sr1</t>
  </si>
  <si>
    <t>V34PRr3</t>
  </si>
  <si>
    <t>25Dr1</t>
  </si>
  <si>
    <t>S33Dr1</t>
  </si>
  <si>
    <t>V35Dr1</t>
  </si>
  <si>
    <t>F22Sr2</t>
  </si>
  <si>
    <t>25Dr3</t>
  </si>
  <si>
    <t>V35PRr1</t>
  </si>
  <si>
    <t>S33PRr1</t>
  </si>
  <si>
    <t>F22Sr3</t>
  </si>
  <si>
    <t>V35PRr2</t>
  </si>
  <si>
    <t>25PRr2</t>
  </si>
  <si>
    <t>V35PRr3</t>
  </si>
  <si>
    <t>F22Dr1</t>
  </si>
  <si>
    <t>26Sr1</t>
  </si>
  <si>
    <t>S34Sr1</t>
  </si>
  <si>
    <t>V37Dr1</t>
  </si>
  <si>
    <t>F22Dr2</t>
  </si>
  <si>
    <t>26Sr2</t>
  </si>
  <si>
    <t>V37PRr2</t>
  </si>
  <si>
    <t>V37PRr3</t>
  </si>
  <si>
    <t>26Sr3</t>
  </si>
  <si>
    <t>S34PRr1</t>
  </si>
  <si>
    <t>F22Dr3</t>
  </si>
  <si>
    <t>V38Sr2</t>
  </si>
  <si>
    <t>F22PRr1</t>
  </si>
  <si>
    <t>26Dr1</t>
  </si>
  <si>
    <t>V38PRr3</t>
  </si>
  <si>
    <t>F22PRr2</t>
  </si>
  <si>
    <t>S35Sr1</t>
  </si>
  <si>
    <t>26Dr2</t>
  </si>
  <si>
    <t>F22PRr3</t>
  </si>
  <si>
    <t>V39Sr2</t>
  </si>
  <si>
    <t>F23Sr1</t>
  </si>
  <si>
    <t>V39Dr1</t>
  </si>
  <si>
    <t>26Dr3</t>
  </si>
  <si>
    <t>V39Dr3</t>
  </si>
  <si>
    <t>F23Sr2</t>
  </si>
  <si>
    <t>S35Dr1</t>
  </si>
  <si>
    <t>26PRr2</t>
  </si>
  <si>
    <t>V39PRr1</t>
  </si>
  <si>
    <t>F23Sr3</t>
  </si>
  <si>
    <t>26PRr3</t>
  </si>
  <si>
    <t>V39PRr2</t>
  </si>
  <si>
    <t>F23Dr1</t>
  </si>
  <si>
    <t>S35PRr1</t>
  </si>
  <si>
    <t>27Sr2</t>
  </si>
  <si>
    <t>V39PRr3</t>
  </si>
  <si>
    <t>V40Sr3</t>
  </si>
  <si>
    <t>F23Dr2</t>
  </si>
  <si>
    <t>27Sr3</t>
  </si>
  <si>
    <t>S36Sr1</t>
  </si>
  <si>
    <t>V40Dr1</t>
  </si>
  <si>
    <t>F23Dr3</t>
  </si>
  <si>
    <t>27Dr1</t>
  </si>
  <si>
    <t>F23PRr1</t>
  </si>
  <si>
    <t>V40PRr1</t>
  </si>
  <si>
    <t>S36Dr1</t>
  </si>
  <si>
    <t>27Dr2</t>
  </si>
  <si>
    <t>F23PRr2</t>
  </si>
  <si>
    <t>V40PRr2</t>
  </si>
  <si>
    <t>27Dr3</t>
  </si>
  <si>
    <t>F23PRr3</t>
  </si>
  <si>
    <t>S36PRr1</t>
  </si>
  <si>
    <t>V40PRr3</t>
  </si>
  <si>
    <t>27PRr1</t>
  </si>
  <si>
    <t>F24Sr1</t>
  </si>
  <si>
    <t>V41Dr3</t>
  </si>
  <si>
    <t>27PRr2</t>
  </si>
  <si>
    <t>S37Sr1</t>
  </si>
  <si>
    <t>F24Sr2</t>
  </si>
  <si>
    <t>V42Sr2</t>
  </si>
  <si>
    <t>28Sr1</t>
  </si>
  <si>
    <t>F24Sr3</t>
  </si>
  <si>
    <t>S37Dr1</t>
  </si>
  <si>
    <t>28Sr2</t>
  </si>
  <si>
    <t>V42PRr2</t>
  </si>
  <si>
    <t>F24Dr1</t>
  </si>
  <si>
    <t>28Sr3</t>
  </si>
  <si>
    <t>V43Dr1</t>
  </si>
  <si>
    <t>F24Dr2</t>
  </si>
  <si>
    <t>28Dr1</t>
  </si>
  <si>
    <t>S37PRr1</t>
  </si>
  <si>
    <t>V43Dr2</t>
  </si>
  <si>
    <t>F24PRr1</t>
  </si>
  <si>
    <t>28Dr3</t>
  </si>
  <si>
    <t>V43Dr3</t>
  </si>
  <si>
    <t>28PRr1</t>
  </si>
  <si>
    <t>F24PRr2</t>
  </si>
  <si>
    <t>S38Sr1</t>
  </si>
  <si>
    <t>V43PRr1</t>
  </si>
  <si>
    <t>28PRr3</t>
  </si>
  <si>
    <t>F24PRr3</t>
  </si>
  <si>
    <t>S38Dr1</t>
  </si>
  <si>
    <t>V43PRr2</t>
  </si>
  <si>
    <t>29Sr1</t>
  </si>
  <si>
    <t>F25Sr1</t>
  </si>
  <si>
    <t>F25Sr2</t>
  </si>
  <si>
    <t>29Sr2</t>
  </si>
  <si>
    <t>V43PRr3</t>
  </si>
  <si>
    <t>S38PRr1</t>
  </si>
  <si>
    <t>F25Sr3</t>
  </si>
  <si>
    <t>V44Dr1</t>
  </si>
  <si>
    <t>29Dr1</t>
  </si>
  <si>
    <t>F25Dr1</t>
  </si>
  <si>
    <t>S39Sr1</t>
  </si>
  <si>
    <t>V44PRr1</t>
  </si>
  <si>
    <t>F25Dr2</t>
  </si>
  <si>
    <t>29Dr2</t>
  </si>
  <si>
    <t>V44PRr2</t>
  </si>
  <si>
    <t>F25Dr3</t>
  </si>
  <si>
    <t>29Dr3</t>
  </si>
  <si>
    <t>S39Dr1</t>
  </si>
  <si>
    <t>V45Sr3</t>
  </si>
  <si>
    <t>F25PRr1</t>
  </si>
  <si>
    <t>29PRr1</t>
  </si>
  <si>
    <t>V45Dr1</t>
  </si>
  <si>
    <t>V45Dr2</t>
  </si>
  <si>
    <t>F25PRr2</t>
  </si>
  <si>
    <t>S39PRr1</t>
  </si>
  <si>
    <t>29PRr2</t>
  </si>
  <si>
    <t>V45Dr3</t>
  </si>
  <si>
    <t>F25PRr3</t>
  </si>
  <si>
    <t>29PRr3</t>
  </si>
  <si>
    <t>V45PRr1</t>
  </si>
  <si>
    <t>F26Sr1</t>
  </si>
  <si>
    <t>S40Sr1</t>
  </si>
  <si>
    <t>30Sr1</t>
  </si>
  <si>
    <t>V45PRr2</t>
  </si>
  <si>
    <t>30Sr2</t>
  </si>
  <si>
    <t>F26Sr3</t>
  </si>
  <si>
    <t>V45PRr3</t>
  </si>
  <si>
    <t>S40Dr1</t>
  </si>
  <si>
    <t>V46PRr1</t>
  </si>
  <si>
    <t>F26Dr1</t>
  </si>
  <si>
    <t>30Sr3</t>
  </si>
  <si>
    <t>V46PRr2</t>
  </si>
  <si>
    <t>F26Dr3</t>
  </si>
  <si>
    <t>S41Sr1</t>
  </si>
  <si>
    <t>30Dr1</t>
  </si>
  <si>
    <t>V46PRr3</t>
  </si>
  <si>
    <t>F26PRr1</t>
  </si>
  <si>
    <t>V47PRr1</t>
  </si>
  <si>
    <t>S41Dr1</t>
  </si>
  <si>
    <t>30PRr1</t>
  </si>
  <si>
    <t>F26PRr2</t>
  </si>
  <si>
    <t>V47PRr2</t>
  </si>
  <si>
    <t>F26PRr3</t>
  </si>
  <si>
    <t>30PRr3</t>
  </si>
  <si>
    <t>V47PRr3</t>
  </si>
  <si>
    <t>S41PRr1</t>
  </si>
  <si>
    <t>F27Sr1</t>
  </si>
  <si>
    <t>V48Dr1</t>
  </si>
  <si>
    <t>31Sr2</t>
  </si>
  <si>
    <t>F27Sr2</t>
  </si>
  <si>
    <t>V48Dr2</t>
  </si>
  <si>
    <t>31Sr3</t>
  </si>
  <si>
    <t>S42Sr1</t>
  </si>
  <si>
    <t>F27Sr3</t>
  </si>
  <si>
    <t>V48Dr3</t>
  </si>
  <si>
    <t>31Dr2</t>
  </si>
  <si>
    <t>F27Dr1</t>
  </si>
  <si>
    <t>V48PRr1</t>
  </si>
  <si>
    <t>S42Dr1</t>
  </si>
  <si>
    <t>F27Dr2</t>
  </si>
  <si>
    <t>V49Dr2</t>
  </si>
  <si>
    <t>F27PRr1</t>
  </si>
  <si>
    <t>31PRr2</t>
  </si>
  <si>
    <t>V50PRr2</t>
  </si>
  <si>
    <t>F27PRr2</t>
  </si>
  <si>
    <t>S42PRr1</t>
  </si>
  <si>
    <t>V51PRr2</t>
  </si>
  <si>
    <t>31PRr3</t>
  </si>
  <si>
    <t>F27PRr3</t>
  </si>
  <si>
    <t>V51PRr3</t>
  </si>
  <si>
    <t>32Dr3</t>
  </si>
  <si>
    <t>F28Sr1</t>
  </si>
  <si>
    <t>S43Sr1</t>
  </si>
  <si>
    <t>V53PRr2</t>
  </si>
  <si>
    <t>F28Sr2</t>
  </si>
  <si>
    <t>V54PRr1</t>
  </si>
  <si>
    <t>32PRr1</t>
  </si>
  <si>
    <t>F28Sr3</t>
  </si>
  <si>
    <t>S43Dr1</t>
  </si>
  <si>
    <t>F28Dr1</t>
  </si>
  <si>
    <t>32PRr2</t>
  </si>
  <si>
    <t>V54PRr2</t>
  </si>
  <si>
    <t>F28Dr2</t>
  </si>
  <si>
    <t>V54PRr3</t>
  </si>
  <si>
    <t>32PRr3</t>
  </si>
  <si>
    <t>S43PRr1</t>
  </si>
  <si>
    <t>V55Sr2</t>
  </si>
  <si>
    <t>F28Dr3</t>
  </si>
  <si>
    <t>33Sr1</t>
  </si>
  <si>
    <t>V55Sr3</t>
  </si>
  <si>
    <t>F28PRr1</t>
  </si>
  <si>
    <t>33Sr2</t>
  </si>
  <si>
    <t>V55Dr1</t>
  </si>
  <si>
    <t>S44Sr1</t>
  </si>
  <si>
    <t>F28PRr2</t>
  </si>
  <si>
    <t>V55PRr1</t>
  </si>
  <si>
    <t>33Dr1</t>
  </si>
  <si>
    <t>F28PRr3</t>
  </si>
  <si>
    <t>V55PRr2</t>
  </si>
  <si>
    <t>S44Dr1</t>
  </si>
  <si>
    <t>33Dr2</t>
  </si>
  <si>
    <t>V55PRr3</t>
  </si>
  <si>
    <t>F29Sr1</t>
  </si>
  <si>
    <t>33Dr3</t>
  </si>
  <si>
    <t>V57PRr2</t>
  </si>
  <si>
    <t>S44PRr1</t>
  </si>
  <si>
    <t>V57PRr3</t>
  </si>
  <si>
    <t>F29Sr2</t>
  </si>
  <si>
    <t>33PRr1</t>
  </si>
  <si>
    <t>V58PRr1</t>
  </si>
  <si>
    <t>F29Sr3</t>
  </si>
  <si>
    <t>S45Sr1</t>
  </si>
  <si>
    <t>33PRr2</t>
  </si>
  <si>
    <t>V58PRr2</t>
  </si>
  <si>
    <t>F29Dr1</t>
  </si>
  <si>
    <t>V58PRr3</t>
  </si>
  <si>
    <t>F29Dr2</t>
  </si>
  <si>
    <t>34Sr1</t>
  </si>
  <si>
    <t>V60PRr1</t>
  </si>
  <si>
    <t>S45Dr1</t>
  </si>
  <si>
    <t>F29Dr3</t>
  </si>
  <si>
    <t>34Sr3</t>
  </si>
  <si>
    <t>V60PRr2</t>
  </si>
  <si>
    <t>F29PRr1</t>
  </si>
  <si>
    <t>34Dr2</t>
  </si>
  <si>
    <t>F29PRr2</t>
  </si>
  <si>
    <t>S45PRr1</t>
  </si>
  <si>
    <t>34Dr3</t>
  </si>
  <si>
    <t>F29PRr3</t>
  </si>
  <si>
    <t>S46Sr1</t>
  </si>
  <si>
    <t>F30Sr1</t>
  </si>
  <si>
    <t>34PRr1</t>
  </si>
  <si>
    <t>F30Sr2</t>
  </si>
  <si>
    <t>34PRr3</t>
  </si>
  <si>
    <t>S46Dr1</t>
  </si>
  <si>
    <t>F30Sr3</t>
  </si>
  <si>
    <t>35Sr1</t>
  </si>
  <si>
    <t>F30Dr1</t>
  </si>
  <si>
    <t>F30Dr2</t>
  </si>
  <si>
    <t>S46PRr1</t>
  </si>
  <si>
    <t>35Sr2</t>
  </si>
  <si>
    <t>F30Dr3</t>
  </si>
  <si>
    <t>35Dr2</t>
  </si>
  <si>
    <t>S47Sr1</t>
  </si>
  <si>
    <t>F30PRr1</t>
  </si>
  <si>
    <t>35Dr3</t>
  </si>
  <si>
    <t>F30PRr2</t>
  </si>
  <si>
    <t>35PRr1</t>
  </si>
  <si>
    <t>F30PRr3</t>
  </si>
  <si>
    <t>S47Dr1</t>
  </si>
  <si>
    <t>F31Sr2</t>
  </si>
  <si>
    <t>35PRr3</t>
  </si>
  <si>
    <t>F31Sr3</t>
  </si>
  <si>
    <t>36Sr1</t>
  </si>
  <si>
    <t>S47PRr1</t>
  </si>
  <si>
    <t>F31Dr1</t>
  </si>
  <si>
    <t>7 July 2026 — reference soil mass series, Magnus lab, Probe 1 (microelectrode)</t>
  </si>
  <si>
    <t>36Sr2</t>
  </si>
  <si>
    <t>Probe 1: microelectrode, 92% slope, cracked glass. Retained for the record; superseded by 9 July. Fixed 1:2.5 ratio — at constant ratio pH should not vary with mass.</t>
  </si>
  <si>
    <t>Reference soil — 1 g / 2 g / 5 g, triplicate fresh subsamples</t>
  </si>
  <si>
    <t>F31Dr2</t>
  </si>
  <si>
    <t>Mass (g)</t>
  </si>
  <si>
    <t>CaCl₂ (mL)</t>
  </si>
  <si>
    <t>Rep 1</t>
  </si>
  <si>
    <t>Rep 2</t>
  </si>
  <si>
    <t>Rep 3</t>
  </si>
  <si>
    <t>S48Sr1</t>
  </si>
  <si>
    <t>Mean</t>
  </si>
  <si>
    <t>36Sr3</t>
  </si>
  <si>
    <t>Rep SD</t>
  </si>
  <si>
    <t>Bias vs 5 g</t>
  </si>
  <si>
    <t>F31PRr1</t>
  </si>
  <si>
    <t>36Dr2</t>
  </si>
  <si>
    <t>F31PRr2</t>
  </si>
  <si>
    <t>S48Dr1</t>
  </si>
  <si>
    <t>F31PRr3</t>
  </si>
  <si>
    <t>36Dr3</t>
  </si>
  <si>
    <t>F32Sr1</t>
  </si>
  <si>
    <t>37Sr1</t>
  </si>
  <si>
    <t>S48PRr1</t>
  </si>
  <si>
    <t>F32Sr2</t>
  </si>
  <si>
    <t>F32Sr3</t>
  </si>
  <si>
    <t>37Sr2</t>
  </si>
  <si>
    <t>F32Dr1</t>
  </si>
  <si>
    <t>S49Sr1</t>
  </si>
  <si>
    <t>37Dr2</t>
  </si>
  <si>
    <t>F32Dr2</t>
  </si>
  <si>
    <t>F32Dr3</t>
  </si>
  <si>
    <t>S49Dr1</t>
  </si>
  <si>
    <t>37Dr3</t>
  </si>
  <si>
    <t>Reported at the time as “all masses look fine” on replicate scatter alone. Later corrected on two counts: (i) judged against the 5 g value, 1 g reads ~0.28 low; (ii) this probe was subsequently found to have cracked glass and a 92% slope, so the absolute values are not trusted.</t>
  </si>
  <si>
    <t>F32PRr1</t>
  </si>
  <si>
    <t>37PRr2</t>
  </si>
  <si>
    <t>F32PRr2</t>
  </si>
  <si>
    <t>S49PRr1</t>
  </si>
  <si>
    <t>F32PRr3</t>
  </si>
  <si>
    <t>37PRr3</t>
  </si>
  <si>
    <t>F33Sr1</t>
  </si>
  <si>
    <t>S50Sr1</t>
  </si>
  <si>
    <t>F33Sr2</t>
  </si>
  <si>
    <t>38Sr2</t>
  </si>
  <si>
    <t>F33Sr3</t>
  </si>
  <si>
    <t>38Sr3</t>
  </si>
  <si>
    <t>S50Dr1</t>
  </si>
  <si>
    <t>F33Dr1</t>
  </si>
  <si>
    <t>38Dr2</t>
  </si>
  <si>
    <t>F33Dr2</t>
  </si>
  <si>
    <t>S50PRr1</t>
  </si>
  <si>
    <t>38Dr3</t>
  </si>
  <si>
    <t>F33Dr3</t>
  </si>
  <si>
    <t>F33PRr2</t>
  </si>
  <si>
    <t>38PRr2</t>
  </si>
  <si>
    <t>S51Sr1</t>
  </si>
  <si>
    <t>F33PRr3</t>
  </si>
  <si>
    <t>38PRr3</t>
  </si>
  <si>
    <t>F34Sr1</t>
  </si>
  <si>
    <t>S51Dr1</t>
  </si>
  <si>
    <t>39Sr3</t>
  </si>
  <si>
    <t>F34Sr2</t>
  </si>
  <si>
    <t>39Dr2</t>
  </si>
  <si>
    <t>F34Sr3</t>
  </si>
  <si>
    <t>S51PRr1</t>
  </si>
  <si>
    <t>39Dr3</t>
  </si>
  <si>
    <t>F34Dr1</t>
  </si>
  <si>
    <t>39PRr1</t>
  </si>
  <si>
    <t>F34Dr2</t>
  </si>
  <si>
    <t>S52Sr1</t>
  </si>
  <si>
    <t>39PRr2</t>
  </si>
  <si>
    <t>F34Dr3</t>
  </si>
  <si>
    <t>F34PRr1</t>
  </si>
  <si>
    <t>39PRr3</t>
  </si>
  <si>
    <t>F34PRr2</t>
  </si>
  <si>
    <t>S52Dr1</t>
  </si>
  <si>
    <t>40Dr1</t>
  </si>
  <si>
    <t>F34PRr3</t>
  </si>
  <si>
    <t>40Dr2</t>
  </si>
  <si>
    <t>F35Sr1</t>
  </si>
  <si>
    <t>S52PRr1</t>
  </si>
  <si>
    <t>40PRr2</t>
  </si>
  <si>
    <t>F35Sr2</t>
  </si>
  <si>
    <t>40PRr3</t>
  </si>
  <si>
    <t>8 July 2026 — Magnus lab, Probe 2 (semi-micro, 97% slope)</t>
  </si>
  <si>
    <t>S53Sr1</t>
  </si>
  <si>
    <t>F35Sr3</t>
  </si>
  <si>
    <t>Same soils, same 1:2.5 ratio, 15 mL tubes. Healthy slope, but readings systematically low against known values.</t>
  </si>
  <si>
    <t>Reference soil — leftover vs freshly prepared CaCl₂</t>
  </si>
  <si>
    <t>41Dr1</t>
  </si>
  <si>
    <t>CaCl₂ batch</t>
  </si>
  <si>
    <t>F35Dr1</t>
  </si>
  <si>
    <t>SD</t>
  </si>
  <si>
    <t>vs 8.03</t>
  </si>
  <si>
    <t>41PRr2</t>
  </si>
  <si>
    <t>Leftover (7 Jul)</t>
  </si>
  <si>
    <t>S53Dr1</t>
  </si>
  <si>
    <t>F35Dr2</t>
  </si>
  <si>
    <t>42Sr1</t>
  </si>
  <si>
    <t>F35Dr3</t>
  </si>
  <si>
    <t>S53PRr1</t>
  </si>
  <si>
    <t>42Sr2</t>
  </si>
  <si>
    <t>F35PRr1</t>
  </si>
  <si>
    <t>42Sr3</t>
  </si>
  <si>
    <t>F35PRr2</t>
  </si>
  <si>
    <t>S54Sr1</t>
  </si>
  <si>
    <t>F35PRr3</t>
  </si>
  <si>
    <t>42Dr1</t>
  </si>
  <si>
    <t>Fresh (8 Jul)</t>
  </si>
  <si>
    <t>42PRr1</t>
  </si>
  <si>
    <t>F36Sr1</t>
  </si>
  <si>
    <t>S54Dr1</t>
  </si>
  <si>
    <t>Fresh CaCl₂ did not restore the expected value — the cleanest reading (fresh, 5 g, SD 0.03) still sat ~0.28 below 8.03. This rules out the electrolyte and points to a probe/lab offset.</t>
  </si>
  <si>
    <t>42PRr2</t>
  </si>
  <si>
    <t>F36Sr2</t>
  </si>
  <si>
    <t>Jood's soils re-measured on this probe (vs her earlier 1:2.5 values)</t>
  </si>
  <si>
    <t>Soil</t>
  </si>
  <si>
    <t>F36Dr1</t>
  </si>
  <si>
    <t>43Sr1</t>
  </si>
  <si>
    <t>Earlier value</t>
  </si>
  <si>
    <t>Difference</t>
  </si>
  <si>
    <t>S54PRr1</t>
  </si>
  <si>
    <t>A8</t>
  </si>
  <si>
    <t>F36Dr2</t>
  </si>
  <si>
    <t>43Sr2</t>
  </si>
  <si>
    <t>F36Dr3</t>
  </si>
  <si>
    <t>F36PRr1</t>
  </si>
  <si>
    <t>43Dr1</t>
  </si>
  <si>
    <t>S55Sr1</t>
  </si>
  <si>
    <t>F36PRr2</t>
  </si>
  <si>
    <t>43Dr2</t>
  </si>
  <si>
    <t>A1</t>
  </si>
  <si>
    <t>F36PRr3</t>
  </si>
  <si>
    <t>S55Dr1</t>
  </si>
  <si>
    <t>43PRr2</t>
  </si>
  <si>
    <t>F37Sr1</t>
  </si>
  <si>
    <t>44Dr2</t>
  </si>
  <si>
    <t>F37Sr2</t>
  </si>
  <si>
    <t>S55PRr1</t>
  </si>
  <si>
    <t>44PRr2</t>
  </si>
  <si>
    <t>F37Sr3</t>
  </si>
  <si>
    <t>44PRr3</t>
  </si>
  <si>
    <t>S56Sr1</t>
  </si>
  <si>
    <t>F37Dr1</t>
  </si>
  <si>
    <t>45Sr1</t>
  </si>
  <si>
    <t>F37Dr2</t>
  </si>
  <si>
    <t>45Dr1</t>
  </si>
  <si>
    <t>F37Dr3</t>
  </si>
  <si>
    <t>S56Dr1</t>
  </si>
  <si>
    <t>45Dr3</t>
  </si>
  <si>
    <t>F37PRr1</t>
  </si>
  <si>
    <t>S56PRr1</t>
  </si>
  <si>
    <t>F37PRr2</t>
  </si>
  <si>
    <t>45PRr2</t>
  </si>
  <si>
    <t>F37PRr3</t>
  </si>
  <si>
    <t>S57Sr1</t>
  </si>
  <si>
    <t>46Sr3</t>
  </si>
  <si>
    <t>F38Sr1</t>
  </si>
  <si>
    <t>46Dr1</t>
  </si>
  <si>
    <t>S57Dr1</t>
  </si>
  <si>
    <t>F38Sr2</t>
  </si>
  <si>
    <t>F38Sr3</t>
  </si>
  <si>
    <t>46PRr1</t>
  </si>
  <si>
    <t>F38Dr2</t>
  </si>
  <si>
    <t>S57PRr1</t>
  </si>
  <si>
    <t>47Sr1</t>
  </si>
  <si>
    <t>F38Dr3</t>
  </si>
  <si>
    <t>S58Sr1</t>
  </si>
  <si>
    <t>47Dr2</t>
  </si>
  <si>
    <t>F38PRr1</t>
  </si>
  <si>
    <t>47Dr3</t>
  </si>
  <si>
    <t>F38PRr2</t>
  </si>
  <si>
    <t>S58Dr1</t>
  </si>
  <si>
    <t>F38PRr3</t>
  </si>
  <si>
    <t>47PRr1</t>
  </si>
  <si>
    <t>F39Sr1</t>
  </si>
  <si>
    <t>S58PRr1</t>
  </si>
  <si>
    <t>48Sr2</t>
  </si>
  <si>
    <t>F39Sr2</t>
  </si>
  <si>
    <t>9 July 2026 — reference soil, our lab, Probe 3 (regular, validated)</t>
  </si>
  <si>
    <t>S59Sr1</t>
  </si>
  <si>
    <t>48Dr2</t>
  </si>
  <si>
    <t>accumet AB315, pH 7/10 calibration. pH 10 check before / during / after: 10.07, 10.06, 10.08. ATC on, ~20 °C. Fresh 0.01 M CaCl₂.</t>
  </si>
  <si>
    <t>5 g + 12.5 mL — 50 mL tubes (3 biological replicates, each read twice)</t>
  </si>
  <si>
    <t>F39Sr3</t>
  </si>
  <si>
    <t>Bio rep</t>
  </si>
  <si>
    <t>Reading 1</t>
  </si>
  <si>
    <t>Reading 2</t>
  </si>
  <si>
    <t>Rep mean</t>
  </si>
  <si>
    <t>48PRr3</t>
  </si>
  <si>
    <t>F39Dr2</t>
  </si>
  <si>
    <t>S59Dr1</t>
  </si>
  <si>
    <t>49Sr2</t>
  </si>
  <si>
    <t>F39Dr3</t>
  </si>
  <si>
    <t>S59PRr1</t>
  </si>
  <si>
    <t>F39PRr1</t>
  </si>
  <si>
    <t>49Sr3</t>
  </si>
  <si>
    <t>F39PRr3</t>
  </si>
  <si>
    <t>49Dr2</t>
  </si>
  <si>
    <t>S60Sr1</t>
  </si>
  <si>
    <t>F40Sr1</t>
  </si>
  <si>
    <t>49PRr2</t>
  </si>
  <si>
    <t>F40Sr2</t>
  </si>
  <si>
    <t>15 mL tubes — same probe (vessel + mass check)</t>
  </si>
  <si>
    <t>50Sr1</t>
  </si>
  <si>
    <t>F40Sr3</t>
  </si>
  <si>
    <t>S60Dr1</t>
  </si>
  <si>
    <t>F40Dr1</t>
  </si>
  <si>
    <t>50Sr2</t>
  </si>
  <si>
    <t>F40Dr2</t>
  </si>
  <si>
    <t>S60PRr1</t>
  </si>
  <si>
    <t>F40Dr3</t>
  </si>
  <si>
    <t>50Sr3</t>
  </si>
  <si>
    <t>F40PRr1</t>
  </si>
  <si>
    <t>50Dr1</t>
  </si>
  <si>
    <t>F40PRr2</t>
  </si>
  <si>
    <t>Immersion confirmed for both: inserting the probe displaces liquid and covers the reference junction. 1 g nonetheless reads ~0.15 low with zero replicate scatter — a genuine mass effect, not shallow immersion and not noise.</t>
  </si>
  <si>
    <t>50Dr2</t>
  </si>
  <si>
    <t>F40PRr3</t>
  </si>
  <si>
    <t>50PRr1</t>
  </si>
  <si>
    <t>F41Dr3</t>
  </si>
  <si>
    <t>50PRr2</t>
  </si>
  <si>
    <t>F41PRr1</t>
  </si>
  <si>
    <t>F41PRr2</t>
  </si>
  <si>
    <t>51Sr2</t>
  </si>
  <si>
    <t>F42Sr1</t>
  </si>
  <si>
    <t>51Dr1</t>
  </si>
  <si>
    <t>F42Sr2</t>
  </si>
  <si>
    <t>F42Sr3</t>
  </si>
  <si>
    <t>51Dr3</t>
  </si>
  <si>
    <t>F42Dr1</t>
  </si>
  <si>
    <t>51PRr3</t>
  </si>
  <si>
    <t>F42Dr2</t>
  </si>
  <si>
    <t>52Dr1</t>
  </si>
  <si>
    <t>F42Dr3</t>
  </si>
  <si>
    <t>53Sr3</t>
  </si>
  <si>
    <t>F42PRr1</t>
  </si>
  <si>
    <t>F42PRr2</t>
  </si>
  <si>
    <t>53Dr2</t>
  </si>
  <si>
    <t>F42PRr3</t>
  </si>
  <si>
    <t>53Dr3</t>
  </si>
  <si>
    <t>F43Sr1</t>
  </si>
  <si>
    <t>53PRr1</t>
  </si>
  <si>
    <t>F43Sr2</t>
  </si>
  <si>
    <t>53PRr2</t>
  </si>
  <si>
    <t>F43Sr3</t>
  </si>
  <si>
    <t>54Sr1</t>
  </si>
  <si>
    <t>F43Dr1</t>
  </si>
  <si>
    <t>54Sr2</t>
  </si>
  <si>
    <t>F43Dr2</t>
  </si>
  <si>
    <t>54Sr3</t>
  </si>
  <si>
    <t>F43Dr3</t>
  </si>
  <si>
    <t>Method notes and QC rules</t>
  </si>
  <si>
    <t>54Dr1</t>
  </si>
  <si>
    <t>Conditions applied across all runs.</t>
  </si>
  <si>
    <t>Item</t>
  </si>
  <si>
    <t>Rule</t>
  </si>
  <si>
    <t>F43PRr1</t>
  </si>
  <si>
    <t>54Dr2</t>
  </si>
  <si>
    <t>Suspension</t>
  </si>
  <si>
    <t>0.01 M CaCl₂, fixed 1:2.5 ratio (mass × 2.5 mL). At constant ratio, pH should not vary with mass.</t>
  </si>
  <si>
    <t>CaCl₂ prep</t>
  </si>
  <si>
    <t>1 M stock; 500 µL stock + 49.5 mL MilliQ = 50 mL of 0.01 M.</t>
  </si>
  <si>
    <t>Two-point, pH 7 and pH 10 (bracketing alkaline soils). pH 4 not used.</t>
  </si>
  <si>
    <t>F43PRr2</t>
  </si>
  <si>
    <t>Validity criterion</t>
  </si>
  <si>
    <t>pH 10 read back as an unknown before and after each run; accept if within ~0.1 of nominal.</t>
  </si>
  <si>
    <t>54PRr1</t>
  </si>
  <si>
    <t>Target 95–102%. Recondition below 95%; reject cracked glass.</t>
  </si>
  <si>
    <t>Temperature</t>
  </si>
  <si>
    <t>ATC enabled; buffers and samples at the same temperature; recorded each run.</t>
  </si>
  <si>
    <t>Replicates</t>
  </si>
  <si>
    <t>Biological = fresh independent scoops (required). Technical re-reads do not substitute — they hide subsampling variation.</t>
  </si>
  <si>
    <t>F43PRr3</t>
  </si>
  <si>
    <t>Homogenisation</t>
  </si>
  <si>
    <t>Sieve &lt;2 mm, dry, mix thoroughly; scoop from the well-mixed whole. No fine grinding.</t>
  </si>
  <si>
    <t>54PRr2</t>
  </si>
  <si>
    <t>Immersion</t>
  </si>
  <si>
    <t>Both glass bulb and reference junction must sit in the suspension, clear of the sediment cone.</t>
  </si>
  <si>
    <t>Reference soil</t>
  </si>
  <si>
    <t>Run each session; judge against assigned value ± 2 SD (warning) / ± 3 SD (action).</t>
  </si>
  <si>
    <t>F44Sr1</t>
  </si>
  <si>
    <t>54PRr3</t>
  </si>
  <si>
    <t>55Sr1</t>
  </si>
  <si>
    <t>F44Sr2</t>
  </si>
  <si>
    <t>55Sr3</t>
  </si>
  <si>
    <t>F44Sr3</t>
  </si>
  <si>
    <t>F44Dr1</t>
  </si>
  <si>
    <t>55Dr2</t>
  </si>
  <si>
    <t>F44Dr2</t>
  </si>
  <si>
    <t>55PRr1</t>
  </si>
  <si>
    <t>55PRr3</t>
  </si>
  <si>
    <t>F44Dr3</t>
  </si>
  <si>
    <t>F44PRr1</t>
  </si>
  <si>
    <t>56Sr1</t>
  </si>
  <si>
    <t>F44PRr2</t>
  </si>
  <si>
    <t>56Sr3</t>
  </si>
  <si>
    <t>F44PRr3</t>
  </si>
  <si>
    <t>56Dr1</t>
  </si>
  <si>
    <t>F45Sr1</t>
  </si>
  <si>
    <t>56Dr3</t>
  </si>
  <si>
    <t>F45Sr2</t>
  </si>
  <si>
    <t>57Sr2</t>
  </si>
  <si>
    <t>F45Sr3</t>
  </si>
  <si>
    <t>57Dr3</t>
  </si>
  <si>
    <t>F45Dr1</t>
  </si>
  <si>
    <t>57PRr1</t>
  </si>
  <si>
    <t>F45Dr2</t>
  </si>
  <si>
    <t>57PRr3</t>
  </si>
  <si>
    <t>58Sr2</t>
  </si>
  <si>
    <t>F45Dr3</t>
  </si>
  <si>
    <t>58Sr3</t>
  </si>
  <si>
    <t>F45PRr1</t>
  </si>
  <si>
    <t>58PRr1</t>
  </si>
  <si>
    <t>F45PRr2</t>
  </si>
  <si>
    <t>59PRr3</t>
  </si>
  <si>
    <t>F45PRr3</t>
  </si>
  <si>
    <t>In-house reference — establishing the 1 g assigned value</t>
  </si>
  <si>
    <t>60Sr3</t>
  </si>
  <si>
    <t>New batch from original bulk. ~10–12 fresh 1 g scoops across ≥3 days and ≥2 calibrations, validated electrode, pH 10 check each session.</t>
  </si>
  <si>
    <t>F46Sr2</t>
  </si>
  <si>
    <t>60Dr2</t>
  </si>
  <si>
    <t>Readings (1 g + 2.5 mL, one reading per fresh scoop)</t>
  </si>
  <si>
    <t>Scoop #</t>
  </si>
  <si>
    <t>F46Dr1</t>
  </si>
  <si>
    <t>60Dr3</t>
  </si>
  <si>
    <t>Reading (1 g)</t>
  </si>
  <si>
    <t>F47Sr3</t>
  </si>
  <si>
    <t>Cal-1</t>
  </si>
  <si>
    <t>5 g: 7.95 (12/07)</t>
  </si>
  <si>
    <t>F47Dr1</t>
  </si>
  <si>
    <t>5 g: 8.23 (13/07)</t>
  </si>
  <si>
    <t>F47Dr3</t>
  </si>
  <si>
    <t>F47PRr1</t>
  </si>
  <si>
    <t>13/07/2026</t>
  </si>
  <si>
    <t>Cal-2</t>
  </si>
  <si>
    <t>F47PRr2</t>
  </si>
  <si>
    <t>F47PRr3</t>
  </si>
  <si>
    <t>F48Sr1</t>
  </si>
  <si>
    <t>14/07/2026</t>
  </si>
  <si>
    <t>F48Sr2</t>
  </si>
  <si>
    <t>Cal-3</t>
  </si>
  <si>
    <t>5 g: 8.11 (14/07)</t>
  </si>
  <si>
    <t>F48Sr3</t>
  </si>
  <si>
    <t>F48Dr1</t>
  </si>
  <si>
    <t>15/07/2027</t>
  </si>
  <si>
    <t>15/07/2028</t>
  </si>
  <si>
    <t>F48Dr2</t>
  </si>
  <si>
    <t>15/07/2029</t>
  </si>
  <si>
    <t>Replicate-agreement test — can 3 biological replicates → 1?</t>
  </si>
  <si>
    <t>F48Dr3</t>
  </si>
  <si>
    <t>15/07/2030</t>
  </si>
  <si>
    <t>Three fresh 1 g scoops per compartment, one reading each. If within-compartment SD stays under tolerance across sites, that compartment can move to n=1.</t>
  </si>
  <si>
    <t>Tolerance (set before measuring):</t>
  </si>
  <si>
    <t>F48PRr1</t>
  </si>
  <si>
    <t>16/07/2026</t>
  </si>
  <si>
    <t>← decide this from what pH difference matters in your analysis. SD at/below this = compartment is a candidate for n=1.</t>
  </si>
  <si>
    <t>1607/2027</t>
  </si>
  <si>
    <t>Site ID</t>
  </si>
  <si>
    <t>F48PRr2</t>
  </si>
  <si>
    <t>Selection rationale (XRF-based)</t>
  </si>
  <si>
    <t>19/07/2028</t>
  </si>
  <si>
    <t>Reps to measure</t>
  </si>
  <si>
    <t>Cal-4</t>
  </si>
  <si>
    <t>1907/2029</t>
  </si>
  <si>
    <t>F48PRr3</t>
  </si>
  <si>
    <t>Range</t>
  </si>
  <si>
    <t>≤ tol?</t>
  </si>
  <si>
    <t>20/07/2030</t>
  </si>
  <si>
    <t>F8</t>
  </si>
  <si>
    <t>Cal-5</t>
  </si>
  <si>
    <t>lowest Ca (0.53) &amp; lowest Fe — low-carbonate clean sand</t>
  </si>
  <si>
    <t>F49Sr1</t>
  </si>
  <si>
    <t>1,2,3</t>
  </si>
  <si>
    <t>21/07/2030</t>
  </si>
  <si>
    <t>Cal-6</t>
  </si>
  <si>
    <t>F49Sr2</t>
  </si>
  <si>
    <t>F49Sr3</t>
  </si>
  <si>
    <t>22/07/2026</t>
  </si>
  <si>
    <t>Cal-7</t>
  </si>
  <si>
    <t>F49Dr1</t>
  </si>
  <si>
    <t>23/07/2026</t>
  </si>
  <si>
    <t>Cal-8</t>
  </si>
  <si>
    <t>F49Dr2</t>
  </si>
  <si>
    <t>26/07/2026</t>
  </si>
  <si>
    <t>F49Dr3</t>
  </si>
  <si>
    <t>Cal-9</t>
  </si>
  <si>
    <t>F49PRr1</t>
  </si>
  <si>
    <t>27/07/26</t>
  </si>
  <si>
    <t>Cal-10</t>
  </si>
  <si>
    <t>F49PRr2</t>
  </si>
  <si>
    <t>27/07/2026</t>
  </si>
  <si>
    <t>F49PRr3</t>
  </si>
  <si>
    <t>28/07/2026</t>
  </si>
  <si>
    <t>Cal-11</t>
  </si>
  <si>
    <t>F50Sr1</t>
  </si>
  <si>
    <t>29/07/2027</t>
  </si>
  <si>
    <t>F50Sr3</t>
  </si>
  <si>
    <t>Cal-12</t>
  </si>
  <si>
    <t>29/07/2028</t>
  </si>
  <si>
    <t>F50Dr1</t>
  </si>
  <si>
    <t>F1</t>
  </si>
  <si>
    <t>29/07/2029</t>
  </si>
  <si>
    <t>highest Ca (12.7) — carbonate-rich, high-pH end</t>
  </si>
  <si>
    <t>F50Dr2</t>
  </si>
  <si>
    <t>30/07/2030</t>
  </si>
  <si>
    <t>Cal-13</t>
  </si>
  <si>
    <t>F50Dr3</t>
  </si>
  <si>
    <t>Assigned value and control limits</t>
  </si>
  <si>
    <t>F50PRr1</t>
  </si>
  <si>
    <t>n (readings)</t>
  </si>
  <si>
    <t>F50PRr2</t>
  </si>
  <si>
    <t>Fill the table as you go; the mean, SD and limits update automatically. Expect the SD to be wider than the old 5 g value (±0.11) because 1 g scoops scatter more — that is honest, not a failure. Aim for ≥10 readings before fixing the value. Optionally run 2–3 scoops at 5 g alongside to record this batch's own 1 g–5 g offset.</t>
  </si>
  <si>
    <t>Assigned value (mean)</t>
  </si>
  <si>
    <t>F50PRr3</t>
  </si>
  <si>
    <t>F45</t>
  </si>
  <si>
    <t>high Ca (7.9) + highest S (0.8) — gypsum-influenced</t>
  </si>
  <si>
    <t>F51Sr3</t>
  </si>
  <si>
    <t>Warning +2 SD</t>
  </si>
  <si>
    <t>F51Dr3</t>
  </si>
  <si>
    <t>Warning −2 SD</t>
  </si>
  <si>
    <t>Action +3 SD</t>
  </si>
  <si>
    <t>F51PRr1</t>
  </si>
  <si>
    <t>Action −3 SD</t>
  </si>
  <si>
    <t>F51PRr2</t>
  </si>
  <si>
    <t>Day-by-day breakout (watch the within-day scatter)</t>
  </si>
  <si>
    <t>Session</t>
  </si>
  <si>
    <t>Scoops</t>
  </si>
  <si>
    <t>F51PRr3</t>
  </si>
  <si>
    <t>n</t>
  </si>
  <si>
    <t>pH 10</t>
  </si>
  <si>
    <t>F52Sr1</t>
  </si>
  <si>
    <t>Day 1 — 12/07 (Cal-1)</t>
  </si>
  <si>
    <t>scoops 1–5</t>
  </si>
  <si>
    <t>F52Sr2</t>
  </si>
  <si>
    <t>9.94–9.96</t>
  </si>
  <si>
    <t>Day 2 — 13/07 (Cal-2)</t>
  </si>
  <si>
    <t>scoops 6–12</t>
  </si>
  <si>
    <t>F22</t>
  </si>
  <si>
    <t>F52Sr3</t>
  </si>
  <si>
    <t>highest Fe (2.25), high Ca — finest / mineral-rich</t>
  </si>
  <si>
    <t>Day 3 — 14/07 (Cal-3)</t>
  </si>
  <si>
    <t>scoops 13–14</t>
  </si>
  <si>
    <t>F53Sr3</t>
  </si>
  <si>
    <t>Day 4 — 15/07 (Cal-4)</t>
  </si>
  <si>
    <t>F53Dr1</t>
  </si>
  <si>
    <t>Day 3 came back tight (range 0.11), like Day 1 — so Day 2's wide scatter looks like an off session, not a heterogeneous batch. Two scoops is thin, though; add 2–3 more Day-3 scoops to be sure before fixing the value. Note between-day drift: the pH 10 check moved 9.95 → 10.06 → 10.04 and the 5 g values 7.95 / 8.23 / 8.11, so some between-day spread is calibration, not soil. ≥3 days and ≥2 calibrations are now met; once a couple more scoops confirm Day-3 tightness, the assigned value can be fixed.</t>
  </si>
  <si>
    <t>F53Dr2</t>
  </si>
  <si>
    <t>F18</t>
  </si>
  <si>
    <t>near-median Ca (1.4) &amp; Fe — mid-range</t>
  </si>
  <si>
    <t>F53Dr3</t>
  </si>
  <si>
    <t>F53PRr1</t>
  </si>
  <si>
    <t>F54PRr2</t>
  </si>
  <si>
    <t>F55Sr1</t>
  </si>
  <si>
    <t>F56Sr2</t>
  </si>
  <si>
    <t>F43</t>
  </si>
  <si>
    <t>low Fe (0.21), low Ca — second clean-sand check</t>
  </si>
  <si>
    <t>F56Sr3</t>
  </si>
  <si>
    <t>F57Sr3</t>
  </si>
  <si>
    <t>F57Dr1</t>
  </si>
  <si>
    <t>lowest Fe (0.19) — clean quartz sand, likely uniform</t>
  </si>
  <si>
    <t>F57PRr1</t>
  </si>
  <si>
    <t>F57PRr2</t>
  </si>
  <si>
    <t>F57PRr3</t>
  </si>
  <si>
    <t>F58Sr1</t>
  </si>
  <si>
    <t>Verdict per compartment (fill once several sites are done)</t>
  </si>
  <si>
    <t>Sites tested</t>
  </si>
  <si>
    <t>Max SD seen</t>
  </si>
  <si>
    <t>F58Sr2</t>
  </si>
  <si>
    <t>All ≤ tol?</t>
  </si>
  <si>
    <t>Decision</t>
  </si>
  <si>
    <t>F58Sr3</t>
  </si>
  <si>
    <t>F58Dr1</t>
  </si>
  <si>
    <t>Read-off rule: if a compartment's SD stays ≤ tolerance across every site tested → it can go to n=1. If tight at some sites and wide at others → keep n=3 for that compartment. Compartments may differ — selective adoption is fine. A single session is a first look; confirm agreement holds across ≥2 sessions before committing. Run the reference soil each session (see 1g Reference tab).</t>
  </si>
  <si>
    <t>Site selection basis (Trip 3 / F): sites chosen to satisfy TWO filters — (1) full triplicate sequenced in all three compartments in Trip 3, and (2) spanning carbonate (Ca) and texture (Fe) from the Trip 3 XRF. Ca is the main pH driver; S separates carbonate (low S) from gypsum (high S). F1 = highest Ca; F8/F43 = low-carbonate clean sand; F45 = gypsum-influenced (highest S among full-triplicate sites); F22 = finest/mineral-rich; F18 = mid-range. XRF gives total elements, not pH — it guides site choice only. All six have reps 1,2,3 sequenced, so every compartment gives a real 3-way agreement check.</t>
  </si>
  <si>
    <t>F58PRr1</t>
  </si>
  <si>
    <t>F58PRr2</t>
  </si>
  <si>
    <t>F58PRr3</t>
  </si>
  <si>
    <t>F59Sr1</t>
  </si>
  <si>
    <t>F59Sr2</t>
  </si>
  <si>
    <t>F59Sr3</t>
  </si>
  <si>
    <t>F59Dr2</t>
  </si>
  <si>
    <t>F59PRr1</t>
  </si>
  <si>
    <t>F60Sr1</t>
  </si>
  <si>
    <t>F60Sr2</t>
  </si>
  <si>
    <t>F60Sr3</t>
  </si>
  <si>
    <t>F60PRr1</t>
  </si>
  <si>
    <t>F60PRr2</t>
  </si>
  <si>
    <t>F60PRr3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</si>
</sst>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"/>
    <numFmt numFmtId="166" formatCode="0.000"/>
    <numFmt numFmtId="167" formatCode="\+0.00;\-0.00"/>
  </numFmts>
  <fonts count="28">
    <font>
      <sz val="11.0"/>
      <color theme="1"/>
      <name val="Calibri"/>
      <scheme val="minor"/>
    </font>
    <font>
      <b/>
      <sz val="9.0"/>
      <color rgb="FFFFFFFF"/>
      <name val="Arial"/>
    </font>
    <font>
      <b/>
      <sz val="14.0"/>
      <color rgb="FF000000"/>
      <name val="Arial"/>
    </font>
    <font>
      <b/>
      <sz val="9.0"/>
      <color rgb="FFFFFFFF"/>
      <name val="EB Garamond"/>
    </font>
    <font>
      <i/>
      <sz val="9.0"/>
      <color rgb="FF595959"/>
      <name val="Arial"/>
    </font>
    <font>
      <b/>
      <sz val="11.0"/>
      <color rgb="FF2E6B8A"/>
      <name val="Arial"/>
    </font>
    <font>
      <sz val="9.0"/>
      <color rgb="FF000000"/>
      <name val="Arial"/>
    </font>
    <font>
      <sz val="9.0"/>
      <color rgb="FF000000"/>
      <name val="EB Garamond"/>
    </font>
    <font>
      <b/>
      <sz val="9.0"/>
      <color rgb="FFB4531F"/>
      <name val="Arial"/>
    </font>
    <font>
      <sz val="9.0"/>
      <color theme="1"/>
      <name val="EB Garamond"/>
    </font>
    <font>
      <b/>
      <sz val="9.0"/>
      <color rgb="FF2E7D52"/>
      <name val="Arial"/>
    </font>
    <font>
      <i/>
      <sz val="8.0"/>
      <color rgb="FF595959"/>
      <name val="Arial"/>
    </font>
    <font>
      <b/>
      <sz val="9.0"/>
      <color rgb="FF000000"/>
      <name val="Arial"/>
    </font>
    <font>
      <color rgb="FF000000"/>
      <name val="Arial"/>
    </font>
    <font>
      <color theme="1"/>
      <name val="EB Garamond"/>
    </font>
    <font>
      <color theme="1"/>
      <name val="Calibri"/>
      <scheme val="minor"/>
    </font>
    <font>
      <sz val="9.0"/>
      <color rgb="FFB4531F"/>
      <name val="EB Garamond"/>
    </font>
    <font>
      <sz val="9.0"/>
      <color theme="1"/>
      <name val="Arial"/>
    </font>
    <font>
      <sz val="10.0"/>
      <color rgb="FF000000"/>
      <name val="Arial"/>
    </font>
    <font>
      <sz val="9.0"/>
      <color rgb="FFB4531F"/>
      <name val="Arial"/>
    </font>
    <font>
      <b/>
      <sz val="10.0"/>
      <color rgb="FF000000"/>
      <name val="Arial"/>
    </font>
    <font>
      <b/>
      <sz val="10.0"/>
      <color rgb="FF2E7D52"/>
      <name val="Arial"/>
    </font>
    <font>
      <sz val="9.0"/>
      <color rgb="FF595959"/>
      <name val="Arial"/>
    </font>
    <font>
      <sz val="10.0"/>
      <color theme="1"/>
      <name val="EB Garamond"/>
    </font>
    <font>
      <sz val="10.0"/>
      <color rgb="FF000000"/>
      <name val="EB Garamond"/>
    </font>
    <font>
      <sz val="11.0"/>
      <color rgb="FF000000"/>
      <name val="Calibri"/>
    </font>
    <font>
      <b/>
      <sz val="11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2E6B8A"/>
        <bgColor rgb="FF2E6B8A"/>
      </patternFill>
    </fill>
    <fill>
      <patternFill patternType="solid">
        <fgColor rgb="FFE8F0F4"/>
        <bgColor rgb="FFE8F0F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readingOrder="0" shrinkToFit="0" wrapText="0"/>
    </xf>
    <xf borderId="1" fillId="3" fontId="6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readingOrder="0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0" fillId="3" fontId="9" numFmtId="0" xfId="0" applyAlignment="1" applyFont="1">
      <alignment horizontal="center" readingOrder="0"/>
    </xf>
    <xf borderId="1" fillId="3" fontId="7" numFmtId="2" xfId="0" applyAlignment="1" applyBorder="1" applyFont="1" applyNumberFormat="1">
      <alignment horizontal="center" vertical="center"/>
    </xf>
    <xf borderId="1" fillId="3" fontId="7" numFmtId="2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shrinkToFit="0" wrapText="0"/>
    </xf>
    <xf borderId="0" fillId="0" fontId="11" numFmtId="0" xfId="0" applyAlignment="1" applyFont="1">
      <alignment horizontal="left" vertical="center"/>
    </xf>
    <xf borderId="1" fillId="0" fontId="6" numFmtId="0" xfId="0" applyAlignment="1" applyBorder="1" applyFont="1">
      <alignment horizontal="left" shrinkToFit="0" wrapText="0"/>
    </xf>
    <xf borderId="1" fillId="0" fontId="1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left" readingOrder="0"/>
    </xf>
    <xf borderId="1" fillId="3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horizontal="center" shrinkToFit="0" wrapText="0"/>
    </xf>
    <xf borderId="1" fillId="3" fontId="6" numFmtId="164" xfId="0" applyAlignment="1" applyBorder="1" applyFont="1" applyNumberFormat="1">
      <alignment horizontal="center" readingOrder="0" shrinkToFit="0" wrapText="0"/>
    </xf>
    <xf borderId="0" fillId="0" fontId="14" numFmtId="0" xfId="0" applyFont="1"/>
    <xf borderId="1" fillId="0" fontId="7" numFmtId="164" xfId="0" applyAlignment="1" applyBorder="1" applyFont="1" applyNumberForma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1" fillId="3" fontId="6" numFmtId="0" xfId="0" applyAlignment="1" applyBorder="1" applyFont="1">
      <alignment horizontal="center" shrinkToFit="0" wrapText="0"/>
    </xf>
    <xf borderId="1" fillId="0" fontId="6" numFmtId="164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shrinkToFit="0" wrapText="0"/>
    </xf>
    <xf borderId="1" fillId="0" fontId="7" numFmtId="2" xfId="0" applyAlignment="1" applyBorder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readingOrder="0" shrinkToFit="0" wrapText="0"/>
    </xf>
    <xf borderId="1" fillId="0" fontId="6" numFmtId="2" xfId="0" applyAlignment="1" applyBorder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 shrinkToFit="0" wrapText="0"/>
    </xf>
    <xf borderId="3" fillId="0" fontId="15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 shrinkToFit="0" wrapText="0"/>
    </xf>
    <xf borderId="1" fillId="3" fontId="17" numFmtId="164" xfId="0" applyAlignment="1" applyBorder="1" applyFont="1" applyNumberFormat="1">
      <alignment horizontal="center" vertical="bottom"/>
    </xf>
    <xf borderId="1" fillId="3" fontId="17" numFmtId="0" xfId="0" applyAlignment="1" applyBorder="1" applyFont="1">
      <alignment horizontal="center" vertical="bottom"/>
    </xf>
    <xf borderId="1" fillId="3" fontId="17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vertical="center"/>
    </xf>
    <xf borderId="1" fillId="0" fontId="18" numFmtId="165" xfId="0" applyAlignment="1" applyBorder="1" applyFont="1" applyNumberFormat="1">
      <alignment horizontal="center" vertical="center"/>
    </xf>
    <xf borderId="1" fillId="0" fontId="18" numFmtId="2" xfId="0" applyAlignment="1" applyBorder="1" applyFont="1" applyNumberFormat="1">
      <alignment horizontal="center" vertical="center"/>
    </xf>
    <xf borderId="1" fillId="0" fontId="18" numFmtId="166" xfId="0" applyAlignment="1" applyBorder="1" applyFont="1" applyNumberFormat="1">
      <alignment horizontal="center" vertical="center"/>
    </xf>
    <xf borderId="1" fillId="0" fontId="18" numFmtId="167" xfId="0" applyAlignment="1" applyBorder="1" applyFont="1" applyNumberFormat="1">
      <alignment horizontal="center" vertical="center"/>
    </xf>
    <xf borderId="0" fillId="0" fontId="19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right" vertical="center"/>
    </xf>
    <xf borderId="4" fillId="3" fontId="20" numFmtId="2" xfId="0" applyAlignment="1" applyBorder="1" applyFont="1" applyNumberFormat="1">
      <alignment horizontal="center" vertical="center"/>
    </xf>
    <xf borderId="0" fillId="0" fontId="18" numFmtId="166" xfId="0" applyAlignment="1" applyFont="1" applyNumberFormat="1">
      <alignment horizontal="center" vertical="center"/>
    </xf>
    <xf borderId="0" fillId="0" fontId="21" numFmtId="0" xfId="0" applyAlignment="1" applyFont="1">
      <alignment horizontal="left" vertical="center"/>
    </xf>
    <xf borderId="0" fillId="0" fontId="22" numFmtId="0" xfId="0" applyAlignment="1" applyFont="1">
      <alignment horizontal="left" shrinkToFit="0" vertical="center" wrapText="1"/>
    </xf>
    <xf borderId="3" fillId="3" fontId="23" numFmtId="0" xfId="0" applyAlignment="1" applyBorder="1" applyFont="1">
      <alignment horizontal="center" readingOrder="0"/>
    </xf>
    <xf borderId="1" fillId="3" fontId="24" numFmtId="0" xfId="0" applyAlignment="1" applyBorder="1" applyFont="1">
      <alignment horizontal="center" readingOrder="0" shrinkToFit="0" wrapText="0"/>
    </xf>
    <xf borderId="1" fillId="3" fontId="7" numFmtId="2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14" xfId="0" applyAlignment="1" applyBorder="1" applyFont="1" applyNumberFormat="1">
      <alignment horizontal="center" readingOrder="0" shrinkToFit="0" vertical="bottom" wrapText="0"/>
    </xf>
    <xf borderId="1" fillId="0" fontId="6" numFmtId="2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2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5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1" fillId="4" fontId="26" numFmtId="2" xfId="0" applyAlignment="1" applyBorder="1" applyFill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center" wrapText="1"/>
    </xf>
    <xf borderId="1" fillId="0" fontId="6" numFmtId="166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6" fillId="0" fontId="27" numFmtId="0" xfId="0" applyBorder="1" applyFont="1"/>
    <xf borderId="2" fillId="0" fontId="27" numFmtId="0" xfId="0" applyBorder="1" applyFont="1"/>
    <xf borderId="0" fillId="0" fontId="12" numFmtId="0" xfId="0" applyAlignment="1" applyFont="1">
      <alignment horizontal="left" readingOrder="0" shrinkToFit="0" vertical="bottom" wrapText="0"/>
    </xf>
    <xf borderId="7" fillId="0" fontId="6" numFmtId="166" xfId="0" applyAlignment="1" applyBorder="1" applyFont="1" applyNumberFormat="1">
      <alignment horizontal="center" readingOrder="0" shrinkToFit="0" vertical="bottom" wrapText="0"/>
    </xf>
    <xf borderId="8" fillId="0" fontId="27" numFmtId="0" xfId="0" applyBorder="1" applyFont="1"/>
    <xf borderId="0" fillId="0" fontId="22" numFmtId="0" xfId="0" applyAlignment="1" applyFont="1">
      <alignment horizontal="left" readingOrder="0" shrinkToFit="0" vertical="bottom" wrapText="0"/>
    </xf>
    <xf borderId="7" fillId="3" fontId="12" numFmtId="2" xfId="0" applyAlignment="1" applyBorder="1" applyFont="1" applyNumberFormat="1">
      <alignment horizontal="center" readingOrder="0" shrinkToFit="0" vertical="bottom" wrapText="0"/>
    </xf>
    <xf borderId="9" fillId="0" fontId="27" numFmtId="0" xfId="0" applyBorder="1" applyFont="1"/>
    <xf borderId="1" fillId="0" fontId="6" numFmtId="2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 readingOrder="0" shrinkToFit="0" vertical="bottom" wrapText="0"/>
    </xf>
    <xf borderId="7" fillId="0" fontId="6" numFmtId="2" xfId="0" applyAlignment="1" applyBorder="1" applyFont="1" applyNumberForma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0" fillId="0" fontId="25" numFmtId="0" xfId="0" applyAlignment="1" applyFont="1">
      <alignment shrinkToFit="0" vertical="bottom" wrapText="0"/>
    </xf>
    <xf borderId="1" fillId="5" fontId="6" numFmtId="2" xfId="0" applyAlignment="1" applyBorder="1" applyFill="1" applyFont="1" applyNumberFormat="1">
      <alignment horizontal="center" vertical="center"/>
    </xf>
    <xf borderId="5" fillId="0" fontId="6" numFmtId="2" xfId="0" applyAlignment="1" applyBorder="1" applyFont="1" applyNumberFormat="1">
      <alignment horizontal="center" vertical="center"/>
    </xf>
    <xf borderId="5" fillId="0" fontId="6" numFmtId="166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left" readingOrder="0" vertical="center"/>
    </xf>
    <xf borderId="2" fillId="0" fontId="6" numFmtId="2" xfId="0" applyAlignment="1" applyBorder="1" applyFont="1" applyNumberFormat="1">
      <alignment horizontal="center" vertical="center"/>
    </xf>
    <xf borderId="2" fillId="0" fontId="6" numFmtId="166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80.0"/>
    <col customWidth="1" min="4" max="9" width="4.0"/>
    <col customWidth="1" min="10" max="26" width="8.71"/>
  </cols>
  <sheetData>
    <row r="1">
      <c r="A1" s="2" t="s">
        <v>1</v>
      </c>
    </row>
    <row r="2">
      <c r="A2" s="4" t="s">
        <v>3</v>
      </c>
    </row>
    <row r="4">
      <c r="A4" s="5" t="s">
        <v>9</v>
      </c>
    </row>
    <row r="5" ht="31.5" customHeight="1">
      <c r="A5" s="6" t="s">
        <v>12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20</v>
      </c>
      <c r="G5" s="6"/>
      <c r="H5" s="6"/>
      <c r="I5" s="6"/>
    </row>
    <row r="6">
      <c r="A6" s="10" t="s">
        <v>24</v>
      </c>
      <c r="B6" s="10" t="s">
        <v>25</v>
      </c>
      <c r="C6" s="10" t="s">
        <v>26</v>
      </c>
      <c r="D6" s="12" t="s">
        <v>27</v>
      </c>
      <c r="E6" s="10" t="s">
        <v>29</v>
      </c>
      <c r="F6" s="14" t="s">
        <v>30</v>
      </c>
    </row>
    <row r="7">
      <c r="A7" s="10" t="s">
        <v>32</v>
      </c>
      <c r="B7" s="10" t="s">
        <v>25</v>
      </c>
      <c r="C7" s="10" t="s">
        <v>33</v>
      </c>
      <c r="D7" s="12" t="s">
        <v>34</v>
      </c>
      <c r="E7" s="10" t="s">
        <v>35</v>
      </c>
      <c r="F7" s="14" t="s">
        <v>37</v>
      </c>
    </row>
    <row r="8">
      <c r="A8" s="10" t="s">
        <v>38</v>
      </c>
      <c r="B8" s="10" t="s">
        <v>39</v>
      </c>
      <c r="C8" s="10" t="s">
        <v>40</v>
      </c>
      <c r="D8" s="12" t="s">
        <v>41</v>
      </c>
      <c r="E8" s="10" t="s">
        <v>42</v>
      </c>
      <c r="F8" s="21" t="s">
        <v>43</v>
      </c>
    </row>
    <row r="9">
      <c r="A9" s="23" t="s">
        <v>44</v>
      </c>
    </row>
    <row r="11">
      <c r="A11" s="5" t="s">
        <v>46</v>
      </c>
    </row>
    <row r="12" ht="31.5" customHeight="1">
      <c r="A12" s="6" t="s">
        <v>6</v>
      </c>
      <c r="B12" s="6" t="s">
        <v>47</v>
      </c>
      <c r="C12" s="6" t="s">
        <v>48</v>
      </c>
      <c r="D12" s="6"/>
      <c r="E12" s="6"/>
      <c r="F12" s="6"/>
      <c r="G12" s="6"/>
      <c r="H12" s="6"/>
      <c r="I12" s="6"/>
    </row>
    <row r="13" ht="27.75" customHeight="1">
      <c r="A13" s="25" t="s">
        <v>51</v>
      </c>
      <c r="B13" s="10" t="s">
        <v>52</v>
      </c>
      <c r="C13" s="26" t="s">
        <v>53</v>
      </c>
    </row>
    <row r="14" ht="27.75" customHeight="1">
      <c r="A14" s="25" t="s">
        <v>54</v>
      </c>
      <c r="B14" s="10" t="s">
        <v>55</v>
      </c>
      <c r="C14" s="26" t="s">
        <v>56</v>
      </c>
    </row>
    <row r="15" ht="27.75" customHeight="1">
      <c r="A15" s="25" t="s">
        <v>58</v>
      </c>
      <c r="B15" s="10" t="s">
        <v>59</v>
      </c>
      <c r="C15" s="26" t="s">
        <v>61</v>
      </c>
    </row>
    <row r="17">
      <c r="A17" s="5" t="s">
        <v>62</v>
      </c>
    </row>
    <row r="18" ht="25.5" customHeight="1">
      <c r="A18" s="27" t="s">
        <v>63</v>
      </c>
    </row>
    <row r="19" ht="25.5" customHeight="1">
      <c r="A19" s="27" t="s">
        <v>65</v>
      </c>
    </row>
    <row r="20" ht="25.5" customHeight="1">
      <c r="A20" s="27" t="s">
        <v>66</v>
      </c>
    </row>
    <row r="21" ht="25.5" customHeight="1">
      <c r="A21" s="27" t="s">
        <v>67</v>
      </c>
    </row>
    <row r="22" ht="25.5" customHeight="1">
      <c r="A22" s="27" t="s">
        <v>69</v>
      </c>
    </row>
    <row r="23" ht="25.5" customHeight="1">
      <c r="A23" s="27" t="s">
        <v>70</v>
      </c>
    </row>
    <row r="24" ht="15.75" customHeight="1"/>
    <row r="25" ht="15.75" customHeight="1">
      <c r="A25" s="5" t="s">
        <v>72</v>
      </c>
    </row>
    <row r="26" ht="15.0" customHeight="1">
      <c r="A26" s="27" t="s">
        <v>75</v>
      </c>
    </row>
    <row r="27" ht="15.75" customHeight="1"/>
    <row r="28" ht="15.75" customHeight="1">
      <c r="A28" s="28" t="s">
        <v>76</v>
      </c>
    </row>
    <row r="29" ht="15.75" customHeight="1"/>
    <row r="30" ht="15.75" customHeight="1">
      <c r="A30" s="29" t="s">
        <v>77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I1"/>
    <mergeCell ref="A2:I2"/>
    <mergeCell ref="A4:I4"/>
    <mergeCell ref="A9:I9"/>
    <mergeCell ref="A11:I11"/>
    <mergeCell ref="A17:I17"/>
    <mergeCell ref="A18:I18"/>
    <mergeCell ref="A28:H28"/>
    <mergeCell ref="A30:H30"/>
    <mergeCell ref="A19:I19"/>
    <mergeCell ref="A20:I20"/>
    <mergeCell ref="A21:I21"/>
    <mergeCell ref="A22:I22"/>
    <mergeCell ref="A23:I23"/>
    <mergeCell ref="A25:I25"/>
    <mergeCell ref="A26:I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</row>
    <row r="2">
      <c r="A2" s="7" t="s">
        <v>115</v>
      </c>
      <c r="B2" s="8">
        <v>1.0</v>
      </c>
      <c r="C2" s="7" t="s">
        <v>28</v>
      </c>
      <c r="D2" s="8">
        <v>1.0</v>
      </c>
      <c r="E2" s="35">
        <v>46224.0</v>
      </c>
      <c r="F2" s="8" t="s">
        <v>23</v>
      </c>
      <c r="G2" s="8">
        <v>97.4</v>
      </c>
      <c r="H2" s="8">
        <v>10.06</v>
      </c>
      <c r="I2" s="8">
        <v>7.99</v>
      </c>
      <c r="J2" s="13"/>
    </row>
    <row r="3">
      <c r="A3" s="7" t="s">
        <v>118</v>
      </c>
      <c r="B3" s="8">
        <v>1.0</v>
      </c>
      <c r="C3" s="7" t="s">
        <v>28</v>
      </c>
      <c r="D3" s="8">
        <v>2.0</v>
      </c>
      <c r="E3" s="35">
        <v>46224.0</v>
      </c>
      <c r="F3" s="8" t="s">
        <v>23</v>
      </c>
      <c r="G3" s="8">
        <v>97.4</v>
      </c>
      <c r="H3" s="8">
        <v>10.06</v>
      </c>
      <c r="I3" s="8">
        <v>8.0</v>
      </c>
      <c r="J3" s="13"/>
    </row>
    <row r="4">
      <c r="A4" s="7" t="s">
        <v>121</v>
      </c>
      <c r="B4" s="8">
        <v>1.0</v>
      </c>
      <c r="C4" s="7" t="s">
        <v>28</v>
      </c>
      <c r="D4" s="8">
        <v>3.0</v>
      </c>
      <c r="E4" s="35">
        <v>46224.0</v>
      </c>
      <c r="F4" s="8" t="s">
        <v>23</v>
      </c>
      <c r="G4" s="8">
        <v>97.4</v>
      </c>
      <c r="H4" s="8">
        <v>10.06</v>
      </c>
      <c r="I4" s="8">
        <v>7.98</v>
      </c>
      <c r="J4" s="13"/>
    </row>
    <row r="5">
      <c r="A5" s="7" t="s">
        <v>123</v>
      </c>
      <c r="B5" s="8">
        <v>1.0</v>
      </c>
      <c r="C5" s="7" t="s">
        <v>19</v>
      </c>
      <c r="D5" s="8">
        <v>1.0</v>
      </c>
      <c r="E5" s="35">
        <v>46224.0</v>
      </c>
      <c r="F5" s="8" t="s">
        <v>23</v>
      </c>
      <c r="G5" s="8">
        <v>97.4</v>
      </c>
      <c r="H5" s="8">
        <v>10.06</v>
      </c>
      <c r="I5" s="8">
        <v>8.0</v>
      </c>
      <c r="J5" s="13"/>
    </row>
    <row r="6">
      <c r="A6" s="7" t="s">
        <v>126</v>
      </c>
      <c r="B6" s="8">
        <v>1.0</v>
      </c>
      <c r="C6" s="7" t="s">
        <v>19</v>
      </c>
      <c r="D6" s="8">
        <v>2.0</v>
      </c>
      <c r="E6" s="35">
        <v>46224.0</v>
      </c>
      <c r="F6" s="8" t="s">
        <v>23</v>
      </c>
      <c r="G6" s="8">
        <v>97.4</v>
      </c>
      <c r="H6" s="8">
        <v>10.06</v>
      </c>
      <c r="I6" s="8">
        <v>7.99</v>
      </c>
      <c r="J6" s="13"/>
    </row>
    <row r="7">
      <c r="A7" s="7" t="s">
        <v>129</v>
      </c>
      <c r="B7" s="8">
        <v>1.0</v>
      </c>
      <c r="C7" s="7" t="s">
        <v>19</v>
      </c>
      <c r="D7" s="8">
        <v>3.0</v>
      </c>
      <c r="E7" s="35">
        <v>46224.0</v>
      </c>
      <c r="F7" s="8" t="s">
        <v>23</v>
      </c>
      <c r="G7" s="8">
        <v>97.4</v>
      </c>
      <c r="H7" s="8">
        <v>10.06</v>
      </c>
      <c r="I7" s="8">
        <v>8.0</v>
      </c>
      <c r="J7" s="13"/>
    </row>
    <row r="8">
      <c r="A8" s="7" t="s">
        <v>131</v>
      </c>
      <c r="B8" s="8">
        <v>1.0</v>
      </c>
      <c r="C8" s="7" t="s">
        <v>36</v>
      </c>
      <c r="D8" s="8">
        <v>2.0</v>
      </c>
      <c r="E8" s="39"/>
      <c r="F8" s="8"/>
      <c r="G8" s="8"/>
      <c r="H8" s="8"/>
      <c r="I8" s="39"/>
      <c r="J8" s="7"/>
    </row>
    <row r="9">
      <c r="A9" s="7" t="s">
        <v>134</v>
      </c>
      <c r="B9" s="8">
        <v>1.0</v>
      </c>
      <c r="C9" s="7" t="s">
        <v>36</v>
      </c>
      <c r="D9" s="8">
        <v>3.0</v>
      </c>
      <c r="E9" s="35">
        <v>46224.0</v>
      </c>
      <c r="F9" s="8" t="s">
        <v>23</v>
      </c>
      <c r="G9" s="8">
        <v>97.4</v>
      </c>
      <c r="H9" s="8">
        <v>10.06</v>
      </c>
      <c r="I9" s="8">
        <v>7.95</v>
      </c>
      <c r="J9" s="13"/>
    </row>
    <row r="10">
      <c r="A10" s="15" t="s">
        <v>137</v>
      </c>
      <c r="B10" s="17">
        <v>2.0</v>
      </c>
      <c r="C10" s="15" t="s">
        <v>28</v>
      </c>
      <c r="D10" s="17">
        <v>1.0</v>
      </c>
      <c r="E10" s="40">
        <v>46225.0</v>
      </c>
      <c r="F10" s="17" t="s">
        <v>23</v>
      </c>
      <c r="G10" s="17">
        <v>96.1</v>
      </c>
      <c r="H10" s="17">
        <v>10.06</v>
      </c>
      <c r="I10" s="17">
        <v>8.15</v>
      </c>
      <c r="J10" s="7"/>
    </row>
    <row r="11">
      <c r="A11" s="15" t="s">
        <v>140</v>
      </c>
      <c r="B11" s="17">
        <v>2.0</v>
      </c>
      <c r="C11" s="15" t="s">
        <v>28</v>
      </c>
      <c r="D11" s="17">
        <v>3.0</v>
      </c>
      <c r="E11" s="41"/>
      <c r="F11" s="41"/>
      <c r="G11" s="41"/>
      <c r="H11" s="41"/>
      <c r="I11" s="41"/>
      <c r="J11" s="24"/>
    </row>
    <row r="12">
      <c r="A12" s="15" t="s">
        <v>143</v>
      </c>
      <c r="B12" s="17">
        <v>2.0</v>
      </c>
      <c r="C12" s="15" t="s">
        <v>19</v>
      </c>
      <c r="D12" s="17">
        <v>1.0</v>
      </c>
      <c r="E12" s="40"/>
      <c r="F12" s="41"/>
      <c r="G12" s="41"/>
      <c r="H12" s="41"/>
      <c r="I12" s="41"/>
      <c r="J12" s="7"/>
    </row>
    <row r="13">
      <c r="A13" s="15" t="s">
        <v>145</v>
      </c>
      <c r="B13" s="17">
        <v>2.0</v>
      </c>
      <c r="C13" s="15" t="s">
        <v>19</v>
      </c>
      <c r="D13" s="17">
        <v>2.0</v>
      </c>
      <c r="E13" s="40">
        <v>46225.0</v>
      </c>
      <c r="F13" s="17" t="s">
        <v>23</v>
      </c>
      <c r="G13" s="17">
        <v>96.1</v>
      </c>
      <c r="H13" s="17">
        <v>10.06</v>
      </c>
      <c r="I13" s="17">
        <v>8.07</v>
      </c>
      <c r="J13" s="24"/>
    </row>
    <row r="14">
      <c r="A14" s="15" t="s">
        <v>148</v>
      </c>
      <c r="B14" s="17">
        <v>2.0</v>
      </c>
      <c r="C14" s="15" t="s">
        <v>19</v>
      </c>
      <c r="D14" s="17">
        <v>3.0</v>
      </c>
      <c r="E14" s="41"/>
      <c r="F14" s="41"/>
      <c r="G14" s="41"/>
      <c r="H14" s="41"/>
      <c r="I14" s="41"/>
      <c r="J14" s="24"/>
    </row>
    <row r="15">
      <c r="A15" s="15" t="s">
        <v>152</v>
      </c>
      <c r="B15" s="17">
        <v>2.0</v>
      </c>
      <c r="C15" s="15" t="s">
        <v>36</v>
      </c>
      <c r="D15" s="17">
        <v>1.0</v>
      </c>
      <c r="E15" s="41"/>
      <c r="F15" s="41"/>
      <c r="G15" s="41"/>
      <c r="H15" s="41"/>
      <c r="I15" s="41"/>
      <c r="J15" s="7"/>
    </row>
    <row r="16">
      <c r="A16" s="15" t="s">
        <v>155</v>
      </c>
      <c r="B16" s="17">
        <v>2.0</v>
      </c>
      <c r="C16" s="15" t="s">
        <v>36</v>
      </c>
      <c r="D16" s="17">
        <v>2.0</v>
      </c>
      <c r="E16" s="40">
        <v>46225.0</v>
      </c>
      <c r="F16" s="17" t="s">
        <v>23</v>
      </c>
      <c r="G16" s="17">
        <v>96.1</v>
      </c>
      <c r="H16" s="17">
        <v>10.06</v>
      </c>
      <c r="I16" s="17">
        <v>7.9</v>
      </c>
      <c r="J16" s="24"/>
    </row>
    <row r="17">
      <c r="A17" s="7" t="s">
        <v>159</v>
      </c>
      <c r="B17" s="8">
        <v>3.0</v>
      </c>
      <c r="C17" s="7" t="s">
        <v>28</v>
      </c>
      <c r="D17" s="8">
        <v>1.0</v>
      </c>
      <c r="E17" s="40">
        <v>46225.0</v>
      </c>
      <c r="F17" s="8" t="s">
        <v>23</v>
      </c>
      <c r="G17" s="17">
        <v>96.1</v>
      </c>
      <c r="H17" s="17">
        <v>10.06</v>
      </c>
      <c r="I17" s="8">
        <v>7.84</v>
      </c>
      <c r="J17" s="13"/>
    </row>
    <row r="18">
      <c r="A18" s="7" t="s">
        <v>162</v>
      </c>
      <c r="B18" s="8">
        <v>3.0</v>
      </c>
      <c r="C18" s="7" t="s">
        <v>28</v>
      </c>
      <c r="D18" s="8">
        <v>3.0</v>
      </c>
      <c r="E18" s="39"/>
      <c r="F18" s="39"/>
      <c r="G18" s="39"/>
      <c r="H18" s="39"/>
      <c r="I18" s="39"/>
      <c r="J18" s="13"/>
    </row>
    <row r="19">
      <c r="A19" s="7" t="s">
        <v>165</v>
      </c>
      <c r="B19" s="8">
        <v>3.0</v>
      </c>
      <c r="C19" s="7" t="s">
        <v>19</v>
      </c>
      <c r="D19" s="8">
        <v>2.0</v>
      </c>
      <c r="E19" s="40">
        <v>46225.0</v>
      </c>
      <c r="F19" s="8" t="s">
        <v>23</v>
      </c>
      <c r="G19" s="17">
        <v>96.1</v>
      </c>
      <c r="H19" s="17">
        <v>10.06</v>
      </c>
      <c r="I19" s="8">
        <v>7.77</v>
      </c>
      <c r="J19" s="13"/>
    </row>
    <row r="20">
      <c r="A20" s="7" t="s">
        <v>169</v>
      </c>
      <c r="B20" s="8">
        <v>3.0</v>
      </c>
      <c r="C20" s="7" t="s">
        <v>19</v>
      </c>
      <c r="D20" s="8">
        <v>3.0</v>
      </c>
      <c r="E20" s="39"/>
      <c r="F20" s="39"/>
      <c r="G20" s="39"/>
      <c r="H20" s="39"/>
      <c r="I20" s="39"/>
      <c r="J20" s="13"/>
    </row>
    <row r="21">
      <c r="A21" s="7" t="s">
        <v>173</v>
      </c>
      <c r="B21" s="8">
        <v>3.0</v>
      </c>
      <c r="C21" s="7" t="s">
        <v>36</v>
      </c>
      <c r="D21" s="8">
        <v>1.0</v>
      </c>
      <c r="E21" s="40">
        <v>46225.0</v>
      </c>
      <c r="F21" s="8" t="s">
        <v>23</v>
      </c>
      <c r="G21" s="17">
        <v>96.1</v>
      </c>
      <c r="H21" s="17">
        <v>10.06</v>
      </c>
      <c r="I21" s="8">
        <v>7.65</v>
      </c>
      <c r="J21" s="13"/>
    </row>
    <row r="22">
      <c r="A22" s="7" t="s">
        <v>179</v>
      </c>
      <c r="B22" s="8">
        <v>3.0</v>
      </c>
      <c r="C22" s="7" t="s">
        <v>36</v>
      </c>
      <c r="D22" s="8">
        <v>2.0</v>
      </c>
      <c r="E22" s="39"/>
      <c r="F22" s="39"/>
      <c r="G22" s="39"/>
      <c r="H22" s="39"/>
      <c r="I22" s="39"/>
      <c r="J22" s="13"/>
    </row>
    <row r="23">
      <c r="A23" s="7" t="s">
        <v>183</v>
      </c>
      <c r="B23" s="8">
        <v>3.0</v>
      </c>
      <c r="C23" s="7" t="s">
        <v>36</v>
      </c>
      <c r="D23" s="8">
        <v>3.0</v>
      </c>
      <c r="E23" s="39"/>
      <c r="F23" s="39"/>
      <c r="G23" s="39"/>
      <c r="H23" s="39"/>
      <c r="I23" s="39"/>
      <c r="J23" s="13"/>
    </row>
    <row r="24">
      <c r="A24" s="15" t="s">
        <v>186</v>
      </c>
      <c r="B24" s="17">
        <v>4.0</v>
      </c>
      <c r="C24" s="15" t="s">
        <v>28</v>
      </c>
      <c r="D24" s="17">
        <v>1.0</v>
      </c>
      <c r="E24" s="40">
        <v>46225.0</v>
      </c>
      <c r="F24" s="17" t="s">
        <v>23</v>
      </c>
      <c r="G24" s="17">
        <v>96.1</v>
      </c>
      <c r="H24" s="17">
        <v>10.06</v>
      </c>
      <c r="I24" s="17">
        <v>8.02</v>
      </c>
      <c r="J24" s="24"/>
    </row>
    <row r="25">
      <c r="A25" s="15" t="s">
        <v>189</v>
      </c>
      <c r="B25" s="17">
        <v>4.0</v>
      </c>
      <c r="C25" s="15" t="s">
        <v>19</v>
      </c>
      <c r="D25" s="17">
        <v>1.0</v>
      </c>
      <c r="E25" s="40">
        <v>46225.0</v>
      </c>
      <c r="F25" s="17" t="s">
        <v>23</v>
      </c>
      <c r="G25" s="17">
        <v>96.1</v>
      </c>
      <c r="H25" s="17">
        <v>10.06</v>
      </c>
      <c r="I25" s="17">
        <v>7.97</v>
      </c>
      <c r="J25" s="24"/>
    </row>
    <row r="26">
      <c r="A26" s="15" t="s">
        <v>193</v>
      </c>
      <c r="B26" s="17">
        <v>4.0</v>
      </c>
      <c r="C26" s="15" t="s">
        <v>19</v>
      </c>
      <c r="D26" s="17">
        <v>2.0</v>
      </c>
      <c r="E26" s="41"/>
      <c r="F26" s="41"/>
      <c r="G26" s="41"/>
      <c r="H26" s="41"/>
      <c r="I26" s="41"/>
      <c r="J26" s="24"/>
    </row>
    <row r="27">
      <c r="A27" s="15" t="s">
        <v>196</v>
      </c>
      <c r="B27" s="17">
        <v>4.0</v>
      </c>
      <c r="C27" s="15" t="s">
        <v>19</v>
      </c>
      <c r="D27" s="17">
        <v>3.0</v>
      </c>
      <c r="E27" s="41"/>
      <c r="F27" s="41"/>
      <c r="G27" s="41"/>
      <c r="H27" s="41"/>
      <c r="I27" s="41"/>
      <c r="J27" s="24"/>
    </row>
    <row r="28">
      <c r="A28" s="15" t="s">
        <v>200</v>
      </c>
      <c r="B28" s="17">
        <v>4.0</v>
      </c>
      <c r="C28" s="15" t="s">
        <v>36</v>
      </c>
      <c r="D28" s="17">
        <v>1.0</v>
      </c>
      <c r="E28" s="40">
        <v>46225.0</v>
      </c>
      <c r="F28" s="17" t="s">
        <v>23</v>
      </c>
      <c r="G28" s="17">
        <v>96.1</v>
      </c>
      <c r="H28" s="17">
        <v>10.06</v>
      </c>
      <c r="I28" s="17">
        <v>7.93</v>
      </c>
      <c r="J28" s="24"/>
    </row>
    <row r="29">
      <c r="A29" s="15" t="s">
        <v>203</v>
      </c>
      <c r="B29" s="17">
        <v>4.0</v>
      </c>
      <c r="C29" s="15" t="s">
        <v>36</v>
      </c>
      <c r="D29" s="17">
        <v>2.0</v>
      </c>
      <c r="E29" s="41"/>
      <c r="F29" s="41"/>
      <c r="G29" s="41"/>
      <c r="H29" s="41"/>
      <c r="I29" s="41"/>
      <c r="J29" s="24"/>
    </row>
    <row r="30">
      <c r="A30" s="15" t="s">
        <v>207</v>
      </c>
      <c r="B30" s="17">
        <v>4.0</v>
      </c>
      <c r="C30" s="15" t="s">
        <v>36</v>
      </c>
      <c r="D30" s="17">
        <v>3.0</v>
      </c>
      <c r="E30" s="41"/>
      <c r="F30" s="41"/>
      <c r="G30" s="41"/>
      <c r="H30" s="41"/>
      <c r="I30" s="41"/>
      <c r="J30" s="24"/>
    </row>
    <row r="31">
      <c r="A31" s="7" t="s">
        <v>210</v>
      </c>
      <c r="B31" s="8">
        <v>5.0</v>
      </c>
      <c r="C31" s="7" t="s">
        <v>28</v>
      </c>
      <c r="D31" s="8">
        <v>1.0</v>
      </c>
      <c r="E31" s="40">
        <v>46225.0</v>
      </c>
      <c r="F31" s="8" t="s">
        <v>23</v>
      </c>
      <c r="G31" s="17">
        <v>96.1</v>
      </c>
      <c r="H31" s="17">
        <v>10.06</v>
      </c>
      <c r="I31" s="8">
        <v>8.03</v>
      </c>
      <c r="J31" s="13"/>
    </row>
    <row r="32">
      <c r="A32" s="7" t="s">
        <v>214</v>
      </c>
      <c r="B32" s="8">
        <v>5.0</v>
      </c>
      <c r="C32" s="7" t="s">
        <v>28</v>
      </c>
      <c r="D32" s="8">
        <v>2.0</v>
      </c>
      <c r="E32" s="39"/>
      <c r="F32" s="39"/>
      <c r="G32" s="39"/>
      <c r="H32" s="39"/>
      <c r="I32" s="39"/>
      <c r="J32" s="13"/>
    </row>
    <row r="33">
      <c r="A33" s="7" t="s">
        <v>218</v>
      </c>
      <c r="B33" s="8">
        <v>5.0</v>
      </c>
      <c r="C33" s="7" t="s">
        <v>28</v>
      </c>
      <c r="D33" s="8">
        <v>3.0</v>
      </c>
      <c r="E33" s="39"/>
      <c r="F33" s="39"/>
      <c r="G33" s="39"/>
      <c r="H33" s="39"/>
      <c r="I33" s="39"/>
      <c r="J33" s="13"/>
    </row>
    <row r="34">
      <c r="A34" s="7" t="s">
        <v>222</v>
      </c>
      <c r="B34" s="8">
        <v>5.0</v>
      </c>
      <c r="C34" s="7" t="s">
        <v>19</v>
      </c>
      <c r="D34" s="8">
        <v>1.0</v>
      </c>
      <c r="E34" s="40">
        <v>46225.0</v>
      </c>
      <c r="F34" s="8" t="s">
        <v>23</v>
      </c>
      <c r="G34" s="17">
        <v>96.1</v>
      </c>
      <c r="H34" s="17">
        <v>10.06</v>
      </c>
      <c r="I34" s="8">
        <v>7.99</v>
      </c>
      <c r="J34" s="13"/>
    </row>
    <row r="35">
      <c r="A35" s="7" t="s">
        <v>226</v>
      </c>
      <c r="B35" s="8">
        <v>5.0</v>
      </c>
      <c r="C35" s="7" t="s">
        <v>19</v>
      </c>
      <c r="D35" s="8">
        <v>2.0</v>
      </c>
      <c r="E35" s="39"/>
      <c r="F35" s="39"/>
      <c r="G35" s="39"/>
      <c r="H35" s="39"/>
      <c r="I35" s="39"/>
      <c r="J35" s="13"/>
    </row>
    <row r="36">
      <c r="A36" s="15" t="s">
        <v>229</v>
      </c>
      <c r="B36" s="17">
        <v>6.0</v>
      </c>
      <c r="C36" s="15" t="s">
        <v>28</v>
      </c>
      <c r="D36" s="17">
        <v>1.0</v>
      </c>
      <c r="E36" s="40">
        <v>46225.0</v>
      </c>
      <c r="F36" s="17" t="s">
        <v>23</v>
      </c>
      <c r="G36" s="17">
        <v>96.1</v>
      </c>
      <c r="H36" s="17">
        <v>10.06</v>
      </c>
      <c r="I36" s="17">
        <v>7.96</v>
      </c>
      <c r="J36" s="24"/>
    </row>
    <row r="37">
      <c r="A37" s="15" t="s">
        <v>233</v>
      </c>
      <c r="B37" s="17">
        <v>6.0</v>
      </c>
      <c r="C37" s="15" t="s">
        <v>28</v>
      </c>
      <c r="D37" s="17">
        <v>2.0</v>
      </c>
      <c r="E37" s="41"/>
      <c r="F37" s="41"/>
      <c r="G37" s="41"/>
      <c r="H37" s="41"/>
      <c r="I37" s="41"/>
      <c r="J37" s="24"/>
    </row>
    <row r="38">
      <c r="A38" s="15" t="s">
        <v>236</v>
      </c>
      <c r="B38" s="17">
        <v>6.0</v>
      </c>
      <c r="C38" s="15" t="s">
        <v>19</v>
      </c>
      <c r="D38" s="17">
        <v>1.0</v>
      </c>
      <c r="E38" s="40">
        <v>46225.0</v>
      </c>
      <c r="F38" s="17" t="s">
        <v>23</v>
      </c>
      <c r="G38" s="17">
        <v>96.1</v>
      </c>
      <c r="H38" s="17">
        <v>10.06</v>
      </c>
      <c r="I38" s="17">
        <v>7.93</v>
      </c>
      <c r="J38" s="24"/>
    </row>
    <row r="39">
      <c r="A39" s="15" t="s">
        <v>241</v>
      </c>
      <c r="B39" s="17">
        <v>6.0</v>
      </c>
      <c r="C39" s="15" t="s">
        <v>19</v>
      </c>
      <c r="D39" s="17">
        <v>3.0</v>
      </c>
      <c r="E39" s="41"/>
      <c r="F39" s="41"/>
      <c r="G39" s="41"/>
      <c r="H39" s="41"/>
      <c r="I39" s="41"/>
      <c r="J39" s="24"/>
    </row>
    <row r="40">
      <c r="A40" s="15" t="s">
        <v>244</v>
      </c>
      <c r="B40" s="17">
        <v>6.0</v>
      </c>
      <c r="C40" s="15" t="s">
        <v>36</v>
      </c>
      <c r="D40" s="17">
        <v>1.0</v>
      </c>
      <c r="E40" s="40">
        <v>46225.0</v>
      </c>
      <c r="F40" s="17" t="s">
        <v>23</v>
      </c>
      <c r="G40" s="17">
        <v>96.1</v>
      </c>
      <c r="H40" s="17">
        <v>10.06</v>
      </c>
      <c r="I40" s="17">
        <v>7.88</v>
      </c>
      <c r="J40" s="24"/>
    </row>
    <row r="41">
      <c r="A41" s="15" t="s">
        <v>248</v>
      </c>
      <c r="B41" s="17">
        <v>6.0</v>
      </c>
      <c r="C41" s="15" t="s">
        <v>36</v>
      </c>
      <c r="D41" s="17">
        <v>2.0</v>
      </c>
      <c r="E41" s="41"/>
      <c r="F41" s="41"/>
      <c r="G41" s="41"/>
      <c r="H41" s="41"/>
      <c r="I41" s="41"/>
      <c r="J41" s="24"/>
    </row>
    <row r="42">
      <c r="A42" s="7" t="s">
        <v>252</v>
      </c>
      <c r="B42" s="8">
        <v>7.0</v>
      </c>
      <c r="C42" s="7" t="s">
        <v>28</v>
      </c>
      <c r="D42" s="8">
        <v>1.0</v>
      </c>
      <c r="E42" s="39"/>
      <c r="F42" s="39"/>
      <c r="G42" s="39"/>
      <c r="H42" s="39"/>
      <c r="I42" s="39"/>
      <c r="J42" s="13"/>
    </row>
    <row r="43">
      <c r="A43" s="7" t="s">
        <v>255</v>
      </c>
      <c r="B43" s="8">
        <v>7.0</v>
      </c>
      <c r="C43" s="7" t="s">
        <v>28</v>
      </c>
      <c r="D43" s="8">
        <v>2.0</v>
      </c>
      <c r="E43" s="40">
        <v>46225.0</v>
      </c>
      <c r="F43" s="8" t="s">
        <v>23</v>
      </c>
      <c r="G43" s="17">
        <v>96.1</v>
      </c>
      <c r="H43" s="17">
        <v>10.06</v>
      </c>
      <c r="I43" s="8">
        <v>8.04</v>
      </c>
      <c r="J43" s="13"/>
    </row>
    <row r="44">
      <c r="A44" s="7" t="s">
        <v>259</v>
      </c>
      <c r="B44" s="8">
        <v>7.0</v>
      </c>
      <c r="C44" s="7" t="s">
        <v>19</v>
      </c>
      <c r="D44" s="8">
        <v>1.0</v>
      </c>
      <c r="E44" s="39"/>
      <c r="F44" s="39"/>
      <c r="G44" s="39"/>
      <c r="H44" s="39"/>
      <c r="I44" s="39"/>
      <c r="J44" s="13"/>
    </row>
    <row r="45">
      <c r="A45" s="7" t="s">
        <v>262</v>
      </c>
      <c r="B45" s="8">
        <v>7.0</v>
      </c>
      <c r="C45" s="7" t="s">
        <v>19</v>
      </c>
      <c r="D45" s="8">
        <v>2.0</v>
      </c>
      <c r="E45" s="40">
        <v>46225.0</v>
      </c>
      <c r="F45" s="8" t="s">
        <v>23</v>
      </c>
      <c r="G45" s="17">
        <v>96.1</v>
      </c>
      <c r="H45" s="17">
        <v>10.06</v>
      </c>
      <c r="I45" s="8">
        <v>7.95</v>
      </c>
      <c r="J45" s="13"/>
    </row>
    <row r="46">
      <c r="A46" s="7" t="s">
        <v>268</v>
      </c>
      <c r="B46" s="8">
        <v>7.0</v>
      </c>
      <c r="C46" s="7" t="s">
        <v>36</v>
      </c>
      <c r="D46" s="8">
        <v>2.0</v>
      </c>
      <c r="E46" s="40">
        <v>46225.0</v>
      </c>
      <c r="F46" s="8" t="s">
        <v>23</v>
      </c>
      <c r="G46" s="17">
        <v>96.1</v>
      </c>
      <c r="H46" s="17">
        <v>10.06</v>
      </c>
      <c r="I46" s="8">
        <v>7.7</v>
      </c>
      <c r="J46" s="13"/>
    </row>
    <row r="47">
      <c r="A47" s="15" t="s">
        <v>273</v>
      </c>
      <c r="B47" s="17">
        <v>8.0</v>
      </c>
      <c r="C47" s="15" t="s">
        <v>28</v>
      </c>
      <c r="D47" s="17">
        <v>2.0</v>
      </c>
      <c r="E47" s="40">
        <v>46224.0</v>
      </c>
      <c r="F47" s="17" t="s">
        <v>23</v>
      </c>
      <c r="G47" s="17">
        <v>97.4</v>
      </c>
      <c r="H47" s="17">
        <v>10.06</v>
      </c>
      <c r="I47" s="17">
        <v>7.4</v>
      </c>
      <c r="J47" s="24"/>
    </row>
    <row r="48">
      <c r="A48" s="15" t="s">
        <v>277</v>
      </c>
      <c r="B48" s="17">
        <v>8.0</v>
      </c>
      <c r="C48" s="15" t="s">
        <v>28</v>
      </c>
      <c r="D48" s="17">
        <v>3.0</v>
      </c>
      <c r="E48" s="40">
        <v>46224.0</v>
      </c>
      <c r="F48" s="17" t="s">
        <v>23</v>
      </c>
      <c r="G48" s="17">
        <v>97.4</v>
      </c>
      <c r="H48" s="17">
        <v>10.06</v>
      </c>
      <c r="I48" s="17">
        <v>7.39</v>
      </c>
      <c r="J48" s="24"/>
    </row>
    <row r="49">
      <c r="A49" s="15" t="s">
        <v>279</v>
      </c>
      <c r="B49" s="17">
        <v>8.0</v>
      </c>
      <c r="C49" s="15" t="s">
        <v>36</v>
      </c>
      <c r="D49" s="17">
        <v>1.0</v>
      </c>
      <c r="E49" s="40">
        <v>46224.0</v>
      </c>
      <c r="F49" s="17" t="s">
        <v>23</v>
      </c>
      <c r="G49" s="17">
        <v>97.4</v>
      </c>
      <c r="H49" s="17">
        <v>10.06</v>
      </c>
      <c r="I49" s="17">
        <v>7.71</v>
      </c>
      <c r="J49" s="24"/>
    </row>
    <row r="50">
      <c r="A50" s="15" t="s">
        <v>285</v>
      </c>
      <c r="B50" s="17">
        <v>8.0</v>
      </c>
      <c r="C50" s="15" t="s">
        <v>36</v>
      </c>
      <c r="D50" s="17">
        <v>2.0</v>
      </c>
      <c r="E50" s="40">
        <v>46224.0</v>
      </c>
      <c r="F50" s="17" t="s">
        <v>23</v>
      </c>
      <c r="G50" s="17">
        <v>97.4</v>
      </c>
      <c r="H50" s="17">
        <v>10.06</v>
      </c>
      <c r="I50" s="17">
        <v>7.77</v>
      </c>
      <c r="J50" s="24"/>
    </row>
    <row r="51">
      <c r="A51" s="15" t="s">
        <v>289</v>
      </c>
      <c r="B51" s="17">
        <v>8.0</v>
      </c>
      <c r="C51" s="15" t="s">
        <v>36</v>
      </c>
      <c r="D51" s="17">
        <v>3.0</v>
      </c>
      <c r="E51" s="40">
        <v>46224.0</v>
      </c>
      <c r="F51" s="17" t="s">
        <v>23</v>
      </c>
      <c r="G51" s="17">
        <v>97.4</v>
      </c>
      <c r="H51" s="17">
        <v>10.06</v>
      </c>
      <c r="I51" s="17">
        <v>7.69</v>
      </c>
      <c r="J51" s="24"/>
    </row>
    <row r="52">
      <c r="A52" s="7" t="s">
        <v>291</v>
      </c>
      <c r="B52" s="8">
        <v>9.0</v>
      </c>
      <c r="C52" s="7" t="s">
        <v>28</v>
      </c>
      <c r="D52" s="8">
        <v>1.0</v>
      </c>
      <c r="E52" s="40">
        <v>46225.0</v>
      </c>
      <c r="F52" s="8" t="s">
        <v>23</v>
      </c>
      <c r="G52" s="17">
        <v>96.1</v>
      </c>
      <c r="H52" s="17">
        <v>10.06</v>
      </c>
      <c r="I52" s="8">
        <v>8.09</v>
      </c>
      <c r="J52" s="13"/>
    </row>
    <row r="53">
      <c r="A53" s="7" t="s">
        <v>295</v>
      </c>
      <c r="B53" s="8">
        <v>9.0</v>
      </c>
      <c r="C53" s="7" t="s">
        <v>28</v>
      </c>
      <c r="D53" s="8">
        <v>2.0</v>
      </c>
      <c r="E53" s="39"/>
      <c r="F53" s="39"/>
      <c r="G53" s="39"/>
      <c r="H53" s="39"/>
      <c r="I53" s="39"/>
      <c r="J53" s="13"/>
    </row>
    <row r="54">
      <c r="A54" s="7" t="s">
        <v>299</v>
      </c>
      <c r="B54" s="8">
        <v>9.0</v>
      </c>
      <c r="C54" s="7" t="s">
        <v>28</v>
      </c>
      <c r="D54" s="8">
        <v>3.0</v>
      </c>
      <c r="E54" s="39"/>
      <c r="F54" s="39"/>
      <c r="G54" s="39"/>
      <c r="H54" s="39"/>
      <c r="I54" s="39"/>
      <c r="J54" s="13"/>
    </row>
    <row r="55">
      <c r="A55" s="7" t="s">
        <v>302</v>
      </c>
      <c r="B55" s="8">
        <v>9.0</v>
      </c>
      <c r="C55" s="7" t="s">
        <v>19</v>
      </c>
      <c r="D55" s="8">
        <v>1.0</v>
      </c>
      <c r="E55" s="40">
        <v>46225.0</v>
      </c>
      <c r="F55" s="8" t="s">
        <v>23</v>
      </c>
      <c r="G55" s="17">
        <v>96.1</v>
      </c>
      <c r="H55" s="17">
        <v>10.06</v>
      </c>
      <c r="I55" s="8">
        <v>7.97</v>
      </c>
      <c r="J55" s="13"/>
    </row>
    <row r="56">
      <c r="A56" s="7" t="s">
        <v>307</v>
      </c>
      <c r="B56" s="8">
        <v>9.0</v>
      </c>
      <c r="C56" s="7" t="s">
        <v>19</v>
      </c>
      <c r="D56" s="8">
        <v>3.0</v>
      </c>
      <c r="E56" s="39"/>
      <c r="F56" s="39"/>
      <c r="G56" s="39"/>
      <c r="H56" s="39"/>
      <c r="I56" s="39"/>
      <c r="J56" s="13"/>
    </row>
    <row r="57">
      <c r="A57" s="7" t="s">
        <v>311</v>
      </c>
      <c r="B57" s="8">
        <v>9.0</v>
      </c>
      <c r="C57" s="7" t="s">
        <v>36</v>
      </c>
      <c r="D57" s="8">
        <v>2.0</v>
      </c>
      <c r="E57" s="40">
        <v>46225.0</v>
      </c>
      <c r="F57" s="8" t="s">
        <v>23</v>
      </c>
      <c r="G57" s="17">
        <v>96.1</v>
      </c>
      <c r="H57" s="17">
        <v>10.06</v>
      </c>
      <c r="I57" s="8">
        <v>7.9</v>
      </c>
      <c r="J57" s="13"/>
    </row>
    <row r="58">
      <c r="A58" s="7" t="s">
        <v>314</v>
      </c>
      <c r="B58" s="8">
        <v>9.0</v>
      </c>
      <c r="C58" s="7" t="s">
        <v>36</v>
      </c>
      <c r="D58" s="8">
        <v>3.0</v>
      </c>
      <c r="E58" s="39"/>
      <c r="F58" s="39"/>
      <c r="G58" s="39"/>
      <c r="H58" s="39"/>
      <c r="I58" s="39"/>
      <c r="J58" s="13"/>
    </row>
    <row r="59">
      <c r="A59" s="15" t="s">
        <v>318</v>
      </c>
      <c r="B59" s="17">
        <v>10.0</v>
      </c>
      <c r="C59" s="15" t="s">
        <v>28</v>
      </c>
      <c r="D59" s="17">
        <v>2.0</v>
      </c>
      <c r="E59" s="40">
        <v>46225.0</v>
      </c>
      <c r="F59" s="17" t="s">
        <v>23</v>
      </c>
      <c r="G59" s="17">
        <v>96.1</v>
      </c>
      <c r="H59" s="17">
        <v>10.06</v>
      </c>
      <c r="I59" s="17">
        <v>8.01</v>
      </c>
      <c r="J59" s="24"/>
    </row>
    <row r="60">
      <c r="A60" s="15" t="s">
        <v>323</v>
      </c>
      <c r="B60" s="17">
        <v>10.0</v>
      </c>
      <c r="C60" s="15" t="s">
        <v>28</v>
      </c>
      <c r="D60" s="17">
        <v>3.0</v>
      </c>
      <c r="E60" s="41"/>
      <c r="F60" s="41"/>
      <c r="G60" s="41"/>
      <c r="H60" s="41"/>
      <c r="I60" s="41"/>
      <c r="J60" s="24"/>
    </row>
    <row r="61">
      <c r="A61" s="15" t="s">
        <v>327</v>
      </c>
      <c r="B61" s="17">
        <v>10.0</v>
      </c>
      <c r="C61" s="15" t="s">
        <v>19</v>
      </c>
      <c r="D61" s="17">
        <v>2.0</v>
      </c>
      <c r="E61" s="40">
        <v>46225.0</v>
      </c>
      <c r="F61" s="17" t="s">
        <v>23</v>
      </c>
      <c r="G61" s="17">
        <v>96.1</v>
      </c>
      <c r="H61" s="17">
        <v>10.06</v>
      </c>
      <c r="I61" s="17">
        <v>7.7</v>
      </c>
      <c r="J61" s="24"/>
    </row>
    <row r="62">
      <c r="A62" s="15" t="s">
        <v>331</v>
      </c>
      <c r="B62" s="17">
        <v>10.0</v>
      </c>
      <c r="C62" s="15" t="s">
        <v>36</v>
      </c>
      <c r="D62" s="17">
        <v>2.0</v>
      </c>
      <c r="E62" s="40">
        <v>46225.0</v>
      </c>
      <c r="F62" s="17" t="s">
        <v>23</v>
      </c>
      <c r="G62" s="17">
        <v>96.1</v>
      </c>
      <c r="H62" s="17">
        <v>10.06</v>
      </c>
      <c r="I62" s="17">
        <v>8.02</v>
      </c>
      <c r="J62" s="24"/>
    </row>
    <row r="63">
      <c r="A63" s="15" t="s">
        <v>334</v>
      </c>
      <c r="B63" s="17">
        <v>10.0</v>
      </c>
      <c r="C63" s="15" t="s">
        <v>36</v>
      </c>
      <c r="D63" s="17">
        <v>3.0</v>
      </c>
      <c r="E63" s="41"/>
      <c r="F63" s="41"/>
      <c r="G63" s="41"/>
      <c r="H63" s="41"/>
      <c r="I63" s="41"/>
      <c r="J63" s="24"/>
    </row>
    <row r="64">
      <c r="A64" s="7" t="s">
        <v>338</v>
      </c>
      <c r="B64" s="8">
        <v>11.0</v>
      </c>
      <c r="C64" s="7" t="s">
        <v>28</v>
      </c>
      <c r="D64" s="8">
        <v>2.0</v>
      </c>
      <c r="E64" s="40">
        <v>46225.0</v>
      </c>
      <c r="F64" s="8" t="s">
        <v>23</v>
      </c>
      <c r="G64" s="17">
        <v>96.1</v>
      </c>
      <c r="H64" s="17">
        <v>10.06</v>
      </c>
      <c r="I64" s="8">
        <v>8.12</v>
      </c>
      <c r="J64" s="13"/>
    </row>
    <row r="65">
      <c r="A65" s="7" t="s">
        <v>343</v>
      </c>
      <c r="B65" s="8">
        <v>11.0</v>
      </c>
      <c r="C65" s="7" t="s">
        <v>19</v>
      </c>
      <c r="D65" s="8">
        <v>1.0</v>
      </c>
      <c r="E65" s="40">
        <v>46225.0</v>
      </c>
      <c r="F65" s="8" t="s">
        <v>23</v>
      </c>
      <c r="G65" s="17">
        <v>96.1</v>
      </c>
      <c r="H65" s="17">
        <v>10.06</v>
      </c>
      <c r="I65" s="8">
        <v>8.13</v>
      </c>
      <c r="J65" s="13"/>
    </row>
    <row r="66">
      <c r="A66" s="7" t="s">
        <v>347</v>
      </c>
      <c r="B66" s="8">
        <v>11.0</v>
      </c>
      <c r="C66" s="7" t="s">
        <v>19</v>
      </c>
      <c r="D66" s="8">
        <v>3.0</v>
      </c>
      <c r="E66" s="39"/>
      <c r="F66" s="39"/>
      <c r="G66" s="39"/>
      <c r="H66" s="39"/>
      <c r="I66" s="39"/>
      <c r="J66" s="13"/>
    </row>
    <row r="67">
      <c r="A67" s="7" t="s">
        <v>350</v>
      </c>
      <c r="B67" s="8">
        <v>11.0</v>
      </c>
      <c r="C67" s="7" t="s">
        <v>36</v>
      </c>
      <c r="D67" s="8">
        <v>1.0</v>
      </c>
      <c r="E67" s="39"/>
      <c r="F67" s="39"/>
      <c r="G67" s="39"/>
      <c r="H67" s="39"/>
      <c r="I67" s="39"/>
      <c r="J67" s="13"/>
    </row>
    <row r="68">
      <c r="A68" s="7" t="s">
        <v>355</v>
      </c>
      <c r="B68" s="8">
        <v>11.0</v>
      </c>
      <c r="C68" s="7" t="s">
        <v>36</v>
      </c>
      <c r="D68" s="8">
        <v>2.0</v>
      </c>
      <c r="E68" s="39"/>
      <c r="F68" s="39"/>
      <c r="G68" s="39"/>
      <c r="H68" s="39"/>
      <c r="I68" s="39"/>
      <c r="J68" s="13"/>
    </row>
    <row r="69">
      <c r="A69" s="7" t="s">
        <v>358</v>
      </c>
      <c r="B69" s="8">
        <v>11.0</v>
      </c>
      <c r="C69" s="7" t="s">
        <v>36</v>
      </c>
      <c r="D69" s="8">
        <v>3.0</v>
      </c>
      <c r="E69" s="40">
        <v>46225.0</v>
      </c>
      <c r="F69" s="8" t="s">
        <v>23</v>
      </c>
      <c r="G69" s="17">
        <v>96.1</v>
      </c>
      <c r="H69" s="8">
        <v>10.07</v>
      </c>
      <c r="I69" s="8">
        <v>8.01</v>
      </c>
      <c r="J69" s="13"/>
    </row>
    <row r="70">
      <c r="A70" s="15" t="s">
        <v>362</v>
      </c>
      <c r="B70" s="17">
        <v>12.0</v>
      </c>
      <c r="C70" s="15" t="s">
        <v>28</v>
      </c>
      <c r="D70" s="17">
        <v>1.0</v>
      </c>
      <c r="E70" s="41"/>
      <c r="F70" s="41"/>
      <c r="G70" s="41"/>
      <c r="H70" s="41"/>
      <c r="I70" s="41"/>
      <c r="J70" s="7" t="s">
        <v>73</v>
      </c>
    </row>
    <row r="71">
      <c r="A71" s="15" t="s">
        <v>366</v>
      </c>
      <c r="B71" s="17">
        <v>12.0</v>
      </c>
      <c r="C71" s="15" t="s">
        <v>28</v>
      </c>
      <c r="D71" s="17">
        <v>2.0</v>
      </c>
      <c r="E71" s="41"/>
      <c r="F71" s="41"/>
      <c r="G71" s="41"/>
      <c r="H71" s="41"/>
      <c r="I71" s="41"/>
      <c r="J71" s="7" t="s">
        <v>73</v>
      </c>
    </row>
    <row r="72">
      <c r="A72" s="15" t="s">
        <v>370</v>
      </c>
      <c r="B72" s="17">
        <v>12.0</v>
      </c>
      <c r="C72" s="15" t="s">
        <v>28</v>
      </c>
      <c r="D72" s="17">
        <v>3.0</v>
      </c>
      <c r="E72" s="41"/>
      <c r="F72" s="41"/>
      <c r="G72" s="41"/>
      <c r="H72" s="41"/>
      <c r="I72" s="41"/>
      <c r="J72" s="7" t="s">
        <v>73</v>
      </c>
    </row>
    <row r="73">
      <c r="A73" s="15" t="s">
        <v>373</v>
      </c>
      <c r="B73" s="17">
        <v>12.0</v>
      </c>
      <c r="C73" s="15" t="s">
        <v>19</v>
      </c>
      <c r="D73" s="17">
        <v>2.0</v>
      </c>
      <c r="E73" s="41"/>
      <c r="F73" s="41"/>
      <c r="G73" s="41"/>
      <c r="H73" s="41"/>
      <c r="I73" s="41"/>
      <c r="J73" s="7" t="s">
        <v>73</v>
      </c>
    </row>
    <row r="74">
      <c r="A74" s="15" t="s">
        <v>377</v>
      </c>
      <c r="B74" s="17">
        <v>12.0</v>
      </c>
      <c r="C74" s="15" t="s">
        <v>19</v>
      </c>
      <c r="D74" s="17">
        <v>3.0</v>
      </c>
      <c r="E74" s="41"/>
      <c r="F74" s="41"/>
      <c r="G74" s="41"/>
      <c r="H74" s="41"/>
      <c r="I74" s="41"/>
      <c r="J74" s="7" t="s">
        <v>73</v>
      </c>
    </row>
    <row r="75">
      <c r="A75" s="15" t="s">
        <v>379</v>
      </c>
      <c r="B75" s="17">
        <v>12.0</v>
      </c>
      <c r="C75" s="15" t="s">
        <v>36</v>
      </c>
      <c r="D75" s="17">
        <v>1.0</v>
      </c>
      <c r="E75" s="41"/>
      <c r="F75" s="41"/>
      <c r="G75" s="41"/>
      <c r="H75" s="41"/>
      <c r="I75" s="41"/>
      <c r="J75" s="7" t="s">
        <v>73</v>
      </c>
    </row>
    <row r="76">
      <c r="A76" s="15" t="s">
        <v>382</v>
      </c>
      <c r="B76" s="17">
        <v>12.0</v>
      </c>
      <c r="C76" s="15" t="s">
        <v>36</v>
      </c>
      <c r="D76" s="17">
        <v>3.0</v>
      </c>
      <c r="E76" s="41"/>
      <c r="F76" s="41"/>
      <c r="G76" s="41"/>
      <c r="H76" s="41"/>
      <c r="I76" s="41"/>
      <c r="J76" s="7" t="s">
        <v>73</v>
      </c>
    </row>
    <row r="77">
      <c r="A77" s="7" t="s">
        <v>385</v>
      </c>
      <c r="B77" s="8">
        <v>13.0</v>
      </c>
      <c r="C77" s="7" t="s">
        <v>28</v>
      </c>
      <c r="D77" s="8">
        <v>2.0</v>
      </c>
      <c r="E77" s="40">
        <v>46225.0</v>
      </c>
      <c r="F77" s="8" t="s">
        <v>23</v>
      </c>
      <c r="G77" s="17">
        <v>96.1</v>
      </c>
      <c r="H77" s="8">
        <v>10.07</v>
      </c>
      <c r="I77" s="8">
        <v>8.02</v>
      </c>
      <c r="J77" s="13"/>
    </row>
    <row r="78">
      <c r="A78" s="7" t="s">
        <v>389</v>
      </c>
      <c r="B78" s="8">
        <v>13.0</v>
      </c>
      <c r="C78" s="7" t="s">
        <v>19</v>
      </c>
      <c r="D78" s="8">
        <v>1.0</v>
      </c>
      <c r="E78" s="40">
        <v>46225.0</v>
      </c>
      <c r="F78" s="8" t="s">
        <v>23</v>
      </c>
      <c r="G78" s="17">
        <v>96.1</v>
      </c>
      <c r="H78" s="8">
        <v>10.07</v>
      </c>
      <c r="I78" s="8">
        <v>8.03</v>
      </c>
      <c r="J78" s="13"/>
    </row>
    <row r="79">
      <c r="A79" s="7" t="s">
        <v>392</v>
      </c>
      <c r="B79" s="8">
        <v>13.0</v>
      </c>
      <c r="C79" s="7" t="s">
        <v>19</v>
      </c>
      <c r="D79" s="8">
        <v>3.0</v>
      </c>
      <c r="E79" s="39"/>
      <c r="F79" s="39"/>
      <c r="G79" s="39"/>
      <c r="H79" s="39"/>
      <c r="I79" s="39"/>
      <c r="J79" s="13"/>
    </row>
    <row r="80">
      <c r="A80" s="15" t="s">
        <v>395</v>
      </c>
      <c r="B80" s="17">
        <v>14.0</v>
      </c>
      <c r="C80" s="15" t="s">
        <v>28</v>
      </c>
      <c r="D80" s="17">
        <v>2.0</v>
      </c>
      <c r="E80" s="41"/>
      <c r="F80" s="41"/>
      <c r="G80" s="41"/>
      <c r="H80" s="41"/>
      <c r="I80" s="41"/>
      <c r="J80" s="7" t="s">
        <v>73</v>
      </c>
    </row>
    <row r="81">
      <c r="A81" s="15" t="s">
        <v>400</v>
      </c>
      <c r="B81" s="17">
        <v>14.0</v>
      </c>
      <c r="C81" s="15" t="s">
        <v>19</v>
      </c>
      <c r="D81" s="17">
        <v>1.0</v>
      </c>
      <c r="E81" s="41"/>
      <c r="F81" s="41"/>
      <c r="G81" s="41"/>
      <c r="H81" s="41"/>
      <c r="I81" s="41"/>
      <c r="J81" s="7" t="s">
        <v>73</v>
      </c>
    </row>
    <row r="82">
      <c r="A82" s="15" t="s">
        <v>403</v>
      </c>
      <c r="B82" s="17">
        <v>14.0</v>
      </c>
      <c r="C82" s="15" t="s">
        <v>19</v>
      </c>
      <c r="D82" s="17">
        <v>2.0</v>
      </c>
      <c r="E82" s="41"/>
      <c r="F82" s="41"/>
      <c r="G82" s="41"/>
      <c r="H82" s="41"/>
      <c r="I82" s="41"/>
      <c r="J82" s="7" t="s">
        <v>73</v>
      </c>
    </row>
    <row r="83">
      <c r="A83" s="15" t="s">
        <v>408</v>
      </c>
      <c r="B83" s="17">
        <v>14.0</v>
      </c>
      <c r="C83" s="15" t="s">
        <v>19</v>
      </c>
      <c r="D83" s="17">
        <v>3.0</v>
      </c>
      <c r="E83" s="41"/>
      <c r="F83" s="41"/>
      <c r="G83" s="41"/>
      <c r="H83" s="41"/>
      <c r="I83" s="41"/>
      <c r="J83" s="7" t="s">
        <v>73</v>
      </c>
    </row>
    <row r="84">
      <c r="A84" s="15" t="s">
        <v>411</v>
      </c>
      <c r="B84" s="17">
        <v>14.0</v>
      </c>
      <c r="C84" s="15" t="s">
        <v>36</v>
      </c>
      <c r="D84" s="17">
        <v>1.0</v>
      </c>
      <c r="E84" s="41"/>
      <c r="F84" s="41"/>
      <c r="G84" s="41"/>
      <c r="H84" s="41"/>
      <c r="I84" s="41"/>
      <c r="J84" s="7" t="s">
        <v>73</v>
      </c>
    </row>
    <row r="85">
      <c r="A85" s="15" t="s">
        <v>415</v>
      </c>
      <c r="B85" s="17">
        <v>14.0</v>
      </c>
      <c r="C85" s="15" t="s">
        <v>36</v>
      </c>
      <c r="D85" s="17">
        <v>2.0</v>
      </c>
      <c r="E85" s="41"/>
      <c r="F85" s="41"/>
      <c r="G85" s="41"/>
      <c r="H85" s="41"/>
      <c r="I85" s="41"/>
      <c r="J85" s="7" t="s">
        <v>73</v>
      </c>
    </row>
    <row r="86">
      <c r="A86" s="7" t="s">
        <v>418</v>
      </c>
      <c r="B86" s="8">
        <v>15.0</v>
      </c>
      <c r="C86" s="7" t="s">
        <v>28</v>
      </c>
      <c r="D86" s="8">
        <v>1.0</v>
      </c>
      <c r="E86" s="40">
        <v>46225.0</v>
      </c>
      <c r="F86" s="8" t="s">
        <v>23</v>
      </c>
      <c r="G86" s="17">
        <v>96.1</v>
      </c>
      <c r="H86" s="8">
        <v>10.07</v>
      </c>
      <c r="I86" s="8">
        <v>7.97</v>
      </c>
      <c r="J86" s="13"/>
    </row>
    <row r="87">
      <c r="A87" s="7" t="s">
        <v>421</v>
      </c>
      <c r="B87" s="8">
        <v>15.0</v>
      </c>
      <c r="C87" s="7" t="s">
        <v>28</v>
      </c>
      <c r="D87" s="8">
        <v>3.0</v>
      </c>
      <c r="E87" s="39"/>
      <c r="F87" s="39"/>
      <c r="G87" s="39"/>
      <c r="H87" s="39"/>
      <c r="I87" s="39"/>
      <c r="J87" s="13"/>
    </row>
    <row r="88">
      <c r="A88" s="7" t="s">
        <v>424</v>
      </c>
      <c r="B88" s="8">
        <v>15.0</v>
      </c>
      <c r="C88" s="7" t="s">
        <v>19</v>
      </c>
      <c r="D88" s="8">
        <v>1.0</v>
      </c>
      <c r="E88" s="40">
        <v>46225.0</v>
      </c>
      <c r="F88" s="8" t="s">
        <v>23</v>
      </c>
      <c r="G88" s="17">
        <v>96.1</v>
      </c>
      <c r="H88" s="8">
        <v>10.07</v>
      </c>
      <c r="I88" s="8">
        <v>7.93</v>
      </c>
      <c r="J88" s="13"/>
    </row>
    <row r="89">
      <c r="A89" s="7" t="s">
        <v>427</v>
      </c>
      <c r="B89" s="8">
        <v>15.0</v>
      </c>
      <c r="C89" s="7" t="s">
        <v>19</v>
      </c>
      <c r="D89" s="8">
        <v>3.0</v>
      </c>
      <c r="E89" s="39"/>
      <c r="F89" s="39"/>
      <c r="G89" s="39"/>
      <c r="H89" s="39"/>
      <c r="I89" s="39"/>
      <c r="J89" s="13"/>
    </row>
    <row r="90">
      <c r="A90" s="7" t="s">
        <v>430</v>
      </c>
      <c r="B90" s="8">
        <v>15.0</v>
      </c>
      <c r="C90" s="7" t="s">
        <v>36</v>
      </c>
      <c r="D90" s="8">
        <v>1.0</v>
      </c>
      <c r="E90" s="40"/>
      <c r="F90" s="39"/>
      <c r="G90" s="39"/>
      <c r="H90" s="39"/>
      <c r="I90" s="39"/>
      <c r="J90" s="13"/>
    </row>
    <row r="91">
      <c r="A91" s="7" t="s">
        <v>434</v>
      </c>
      <c r="B91" s="8">
        <v>15.0</v>
      </c>
      <c r="C91" s="7" t="s">
        <v>36</v>
      </c>
      <c r="D91" s="8">
        <v>2.0</v>
      </c>
      <c r="E91" s="40">
        <v>46225.0</v>
      </c>
      <c r="F91" s="8" t="s">
        <v>23</v>
      </c>
      <c r="G91" s="17">
        <v>96.1</v>
      </c>
      <c r="H91" s="8">
        <v>10.07</v>
      </c>
      <c r="I91" s="8">
        <v>7.8</v>
      </c>
      <c r="J91" s="13"/>
    </row>
    <row r="92">
      <c r="A92" s="7" t="s">
        <v>435</v>
      </c>
      <c r="B92" s="8">
        <v>15.0</v>
      </c>
      <c r="C92" s="7" t="s">
        <v>36</v>
      </c>
      <c r="D92" s="8">
        <v>3.0</v>
      </c>
      <c r="E92" s="39"/>
      <c r="F92" s="39"/>
      <c r="G92" s="39"/>
      <c r="H92" s="39"/>
      <c r="I92" s="39"/>
      <c r="J92" s="13"/>
    </row>
    <row r="93">
      <c r="A93" s="15" t="s">
        <v>439</v>
      </c>
      <c r="B93" s="17">
        <v>16.0</v>
      </c>
      <c r="C93" s="15" t="s">
        <v>28</v>
      </c>
      <c r="D93" s="17">
        <v>1.0</v>
      </c>
      <c r="E93" s="40">
        <v>46225.0</v>
      </c>
      <c r="F93" s="17" t="s">
        <v>23</v>
      </c>
      <c r="G93" s="17">
        <v>96.1</v>
      </c>
      <c r="H93" s="8">
        <v>10.07</v>
      </c>
      <c r="I93" s="17">
        <v>7.88</v>
      </c>
      <c r="J93" s="24"/>
    </row>
    <row r="94">
      <c r="A94" s="15" t="s">
        <v>441</v>
      </c>
      <c r="B94" s="17">
        <v>16.0</v>
      </c>
      <c r="C94" s="15" t="s">
        <v>19</v>
      </c>
      <c r="D94" s="17">
        <v>1.0</v>
      </c>
      <c r="E94" s="40">
        <v>46225.0</v>
      </c>
      <c r="F94" s="17" t="s">
        <v>23</v>
      </c>
      <c r="G94" s="17">
        <v>96.1</v>
      </c>
      <c r="H94" s="8">
        <v>10.07</v>
      </c>
      <c r="I94" s="17">
        <v>7.91</v>
      </c>
      <c r="J94" s="24"/>
    </row>
    <row r="95">
      <c r="A95" s="15" t="s">
        <v>445</v>
      </c>
      <c r="B95" s="17">
        <v>16.0</v>
      </c>
      <c r="C95" s="15" t="s">
        <v>19</v>
      </c>
      <c r="D95" s="17">
        <v>3.0</v>
      </c>
      <c r="E95" s="41"/>
      <c r="F95" s="41"/>
      <c r="G95" s="41"/>
      <c r="H95" s="41"/>
      <c r="I95" s="41"/>
      <c r="J95" s="24"/>
    </row>
    <row r="96">
      <c r="A96" s="15" t="s">
        <v>449</v>
      </c>
      <c r="B96" s="17">
        <v>16.0</v>
      </c>
      <c r="C96" s="15" t="s">
        <v>36</v>
      </c>
      <c r="D96" s="17">
        <v>1.0</v>
      </c>
      <c r="E96" s="40">
        <v>46225.0</v>
      </c>
      <c r="F96" s="17" t="s">
        <v>23</v>
      </c>
      <c r="G96" s="17">
        <v>96.1</v>
      </c>
      <c r="H96" s="8">
        <v>10.07</v>
      </c>
      <c r="I96" s="17">
        <v>7.8</v>
      </c>
      <c r="J96" s="24"/>
    </row>
    <row r="97">
      <c r="A97" s="15" t="s">
        <v>452</v>
      </c>
      <c r="B97" s="17">
        <v>16.0</v>
      </c>
      <c r="C97" s="15" t="s">
        <v>36</v>
      </c>
      <c r="D97" s="17">
        <v>2.0</v>
      </c>
      <c r="E97" s="41"/>
      <c r="F97" s="41"/>
      <c r="G97" s="41"/>
      <c r="H97" s="41"/>
      <c r="I97" s="41"/>
      <c r="J97" s="24"/>
    </row>
    <row r="98">
      <c r="A98" s="15" t="s">
        <v>456</v>
      </c>
      <c r="B98" s="17">
        <v>16.0</v>
      </c>
      <c r="C98" s="15" t="s">
        <v>36</v>
      </c>
      <c r="D98" s="17">
        <v>3.0</v>
      </c>
      <c r="E98" s="41"/>
      <c r="F98" s="41"/>
      <c r="G98" s="41"/>
      <c r="H98" s="41"/>
      <c r="I98" s="41"/>
      <c r="J98" s="24"/>
    </row>
    <row r="99">
      <c r="A99" s="7" t="s">
        <v>457</v>
      </c>
      <c r="B99" s="8">
        <v>17.0</v>
      </c>
      <c r="C99" s="7" t="s">
        <v>28</v>
      </c>
      <c r="D99" s="8">
        <v>1.0</v>
      </c>
      <c r="E99" s="40">
        <v>46225.0</v>
      </c>
      <c r="F99" s="8" t="s">
        <v>23</v>
      </c>
      <c r="G99" s="17">
        <v>96.1</v>
      </c>
      <c r="H99" s="8">
        <v>10.07</v>
      </c>
      <c r="I99" s="8">
        <v>8.01</v>
      </c>
      <c r="J99" s="13"/>
    </row>
    <row r="100">
      <c r="A100" s="7" t="s">
        <v>460</v>
      </c>
      <c r="B100" s="8">
        <v>17.0</v>
      </c>
      <c r="C100" s="7" t="s">
        <v>28</v>
      </c>
      <c r="D100" s="8">
        <v>2.0</v>
      </c>
      <c r="E100" s="39"/>
      <c r="F100" s="39"/>
      <c r="G100" s="39"/>
      <c r="H100" s="39"/>
      <c r="I100" s="39"/>
      <c r="J100" s="13"/>
    </row>
    <row r="101">
      <c r="A101" s="7" t="s">
        <v>463</v>
      </c>
      <c r="B101" s="8">
        <v>17.0</v>
      </c>
      <c r="C101" s="7" t="s">
        <v>28</v>
      </c>
      <c r="D101" s="8">
        <v>3.0</v>
      </c>
      <c r="E101" s="39"/>
      <c r="F101" s="39"/>
      <c r="G101" s="39"/>
      <c r="H101" s="39"/>
      <c r="I101" s="39"/>
      <c r="J101" s="13"/>
    </row>
    <row r="102">
      <c r="A102" s="7" t="s">
        <v>466</v>
      </c>
      <c r="B102" s="8">
        <v>17.0</v>
      </c>
      <c r="C102" s="7" t="s">
        <v>19</v>
      </c>
      <c r="D102" s="8">
        <v>1.0</v>
      </c>
      <c r="E102" s="40">
        <v>46225.0</v>
      </c>
      <c r="F102" s="8" t="s">
        <v>23</v>
      </c>
      <c r="G102" s="17">
        <v>96.1</v>
      </c>
      <c r="H102" s="8">
        <v>10.07</v>
      </c>
      <c r="I102" s="8">
        <v>7.99</v>
      </c>
      <c r="J102" s="13"/>
    </row>
    <row r="103">
      <c r="A103" s="7" t="s">
        <v>469</v>
      </c>
      <c r="B103" s="8">
        <v>17.0</v>
      </c>
      <c r="C103" s="7" t="s">
        <v>19</v>
      </c>
      <c r="D103" s="8">
        <v>2.0</v>
      </c>
      <c r="E103" s="39"/>
      <c r="F103" s="39"/>
      <c r="G103" s="39"/>
      <c r="H103" s="39"/>
      <c r="I103" s="39"/>
      <c r="J103" s="13"/>
    </row>
    <row r="104">
      <c r="A104" s="7" t="s">
        <v>473</v>
      </c>
      <c r="B104" s="8">
        <v>17.0</v>
      </c>
      <c r="C104" s="7" t="s">
        <v>19</v>
      </c>
      <c r="D104" s="8">
        <v>3.0</v>
      </c>
      <c r="E104" s="39"/>
      <c r="F104" s="39"/>
      <c r="G104" s="39"/>
      <c r="H104" s="39"/>
      <c r="I104" s="39"/>
      <c r="J104" s="13"/>
    </row>
    <row r="105">
      <c r="A105" s="7" t="s">
        <v>478</v>
      </c>
      <c r="B105" s="8">
        <v>17.0</v>
      </c>
      <c r="C105" s="7" t="s">
        <v>36</v>
      </c>
      <c r="D105" s="8">
        <v>2.0</v>
      </c>
      <c r="E105" s="40">
        <v>46225.0</v>
      </c>
      <c r="F105" s="8" t="s">
        <v>23</v>
      </c>
      <c r="G105" s="17">
        <v>96.1</v>
      </c>
      <c r="H105" s="8">
        <v>10.07</v>
      </c>
      <c r="I105" s="8">
        <v>7.7</v>
      </c>
      <c r="J105" s="13"/>
    </row>
    <row r="106">
      <c r="A106" s="7" t="s">
        <v>480</v>
      </c>
      <c r="B106" s="8">
        <v>17.0</v>
      </c>
      <c r="C106" s="7" t="s">
        <v>36</v>
      </c>
      <c r="D106" s="8">
        <v>3.0</v>
      </c>
      <c r="E106" s="39"/>
      <c r="F106" s="39"/>
      <c r="G106" s="39"/>
      <c r="H106" s="39"/>
      <c r="I106" s="39"/>
      <c r="J106" s="13"/>
    </row>
    <row r="107">
      <c r="A107" s="15" t="s">
        <v>485</v>
      </c>
      <c r="B107" s="17">
        <v>18.0</v>
      </c>
      <c r="C107" s="15" t="s">
        <v>28</v>
      </c>
      <c r="D107" s="17">
        <v>1.0</v>
      </c>
      <c r="E107" s="40">
        <v>46224.0</v>
      </c>
      <c r="F107" s="17" t="s">
        <v>23</v>
      </c>
      <c r="G107" s="17">
        <v>97.4</v>
      </c>
      <c r="H107" s="17">
        <v>10.06</v>
      </c>
      <c r="I107" s="17">
        <v>7.82</v>
      </c>
      <c r="J107" s="24"/>
    </row>
    <row r="108">
      <c r="A108" s="15" t="s">
        <v>488</v>
      </c>
      <c r="B108" s="17">
        <v>18.0</v>
      </c>
      <c r="C108" s="15" t="s">
        <v>28</v>
      </c>
      <c r="D108" s="17">
        <v>2.0</v>
      </c>
      <c r="E108" s="40">
        <v>46224.0</v>
      </c>
      <c r="F108" s="17" t="s">
        <v>23</v>
      </c>
      <c r="G108" s="17">
        <v>97.4</v>
      </c>
      <c r="H108" s="17">
        <v>10.06</v>
      </c>
      <c r="I108" s="17">
        <v>7.93</v>
      </c>
      <c r="J108" s="24"/>
    </row>
    <row r="109">
      <c r="A109" s="15" t="s">
        <v>492</v>
      </c>
      <c r="B109" s="17">
        <v>18.0</v>
      </c>
      <c r="C109" s="15" t="s">
        <v>19</v>
      </c>
      <c r="D109" s="17">
        <v>2.0</v>
      </c>
      <c r="E109" s="40">
        <v>46224.0</v>
      </c>
      <c r="F109" s="17" t="s">
        <v>23</v>
      </c>
      <c r="G109" s="17">
        <v>97.4</v>
      </c>
      <c r="H109" s="17">
        <v>10.06</v>
      </c>
      <c r="I109" s="17">
        <v>7.61</v>
      </c>
      <c r="J109" s="24"/>
    </row>
    <row r="110">
      <c r="A110" s="15" t="s">
        <v>496</v>
      </c>
      <c r="B110" s="17">
        <v>18.0</v>
      </c>
      <c r="C110" s="15" t="s">
        <v>36</v>
      </c>
      <c r="D110" s="17">
        <v>1.0</v>
      </c>
      <c r="E110" s="41"/>
      <c r="F110" s="41"/>
      <c r="G110" s="41"/>
      <c r="H110" s="41"/>
      <c r="I110" s="41"/>
      <c r="J110" s="24"/>
    </row>
    <row r="111">
      <c r="A111" s="15" t="s">
        <v>498</v>
      </c>
      <c r="B111" s="17">
        <v>18.0</v>
      </c>
      <c r="C111" s="15" t="s">
        <v>36</v>
      </c>
      <c r="D111" s="17">
        <v>2.0</v>
      </c>
      <c r="E111" s="40">
        <v>46224.0</v>
      </c>
      <c r="F111" s="17" t="s">
        <v>23</v>
      </c>
      <c r="G111" s="17">
        <v>97.4</v>
      </c>
      <c r="H111" s="17">
        <v>10.06</v>
      </c>
      <c r="I111" s="17">
        <v>7.91</v>
      </c>
      <c r="J111" s="24"/>
    </row>
    <row r="112">
      <c r="A112" s="7" t="s">
        <v>503</v>
      </c>
      <c r="B112" s="8">
        <v>19.0</v>
      </c>
      <c r="C112" s="7" t="s">
        <v>28</v>
      </c>
      <c r="D112" s="8">
        <v>1.0</v>
      </c>
      <c r="E112" s="40">
        <v>46225.0</v>
      </c>
      <c r="F112" s="8" t="s">
        <v>23</v>
      </c>
      <c r="G112" s="17">
        <v>96.1</v>
      </c>
      <c r="H112" s="8">
        <v>10.07</v>
      </c>
      <c r="I112" s="8">
        <v>7.78</v>
      </c>
      <c r="J112" s="13"/>
    </row>
    <row r="113">
      <c r="A113" s="7" t="s">
        <v>506</v>
      </c>
      <c r="B113" s="8">
        <v>19.0</v>
      </c>
      <c r="C113" s="7" t="s">
        <v>28</v>
      </c>
      <c r="D113" s="8">
        <v>3.0</v>
      </c>
      <c r="E113" s="39"/>
      <c r="F113" s="39"/>
      <c r="G113" s="39"/>
      <c r="H113" s="39"/>
      <c r="I113" s="39"/>
      <c r="J113" s="13"/>
    </row>
    <row r="114">
      <c r="A114" s="7" t="s">
        <v>510</v>
      </c>
      <c r="B114" s="8">
        <v>19.0</v>
      </c>
      <c r="C114" s="7" t="s">
        <v>19</v>
      </c>
      <c r="D114" s="8">
        <v>2.0</v>
      </c>
      <c r="E114" s="40">
        <v>46225.0</v>
      </c>
      <c r="F114" s="8" t="s">
        <v>23</v>
      </c>
      <c r="G114" s="17">
        <v>96.1</v>
      </c>
      <c r="H114" s="8">
        <v>10.07</v>
      </c>
      <c r="I114" s="8">
        <v>7.7</v>
      </c>
      <c r="J114" s="13"/>
    </row>
    <row r="115">
      <c r="A115" s="7" t="s">
        <v>515</v>
      </c>
      <c r="B115" s="8">
        <v>19.0</v>
      </c>
      <c r="C115" s="7" t="s">
        <v>19</v>
      </c>
      <c r="D115" s="8">
        <v>3.0</v>
      </c>
      <c r="E115" s="39"/>
      <c r="F115" s="39"/>
      <c r="G115" s="39"/>
      <c r="H115" s="39"/>
      <c r="I115" s="39"/>
      <c r="J115" s="13"/>
    </row>
    <row r="116">
      <c r="A116" s="15" t="s">
        <v>517</v>
      </c>
      <c r="B116" s="17">
        <v>20.0</v>
      </c>
      <c r="C116" s="15" t="s">
        <v>28</v>
      </c>
      <c r="D116" s="17">
        <v>1.0</v>
      </c>
      <c r="E116" s="40">
        <v>46225.0</v>
      </c>
      <c r="F116" s="17" t="s">
        <v>23</v>
      </c>
      <c r="G116" s="17">
        <v>96.1</v>
      </c>
      <c r="H116" s="8">
        <v>10.07</v>
      </c>
      <c r="I116" s="17">
        <v>7.81</v>
      </c>
      <c r="J116" s="24"/>
    </row>
    <row r="117">
      <c r="A117" s="15" t="s">
        <v>521</v>
      </c>
      <c r="B117" s="17">
        <v>20.0</v>
      </c>
      <c r="C117" s="15" t="s">
        <v>28</v>
      </c>
      <c r="D117" s="17">
        <v>3.0</v>
      </c>
      <c r="E117" s="41"/>
      <c r="F117" s="41"/>
      <c r="G117" s="41"/>
      <c r="H117" s="41"/>
      <c r="I117" s="41"/>
      <c r="J117" s="24"/>
    </row>
    <row r="118">
      <c r="A118" s="15" t="s">
        <v>525</v>
      </c>
      <c r="B118" s="17">
        <v>20.0</v>
      </c>
      <c r="C118" s="15" t="s">
        <v>19</v>
      </c>
      <c r="D118" s="17">
        <v>1.0</v>
      </c>
      <c r="E118" s="40">
        <v>46225.0</v>
      </c>
      <c r="F118" s="17" t="s">
        <v>23</v>
      </c>
      <c r="G118" s="17">
        <v>96.1</v>
      </c>
      <c r="H118" s="8">
        <v>10.07</v>
      </c>
      <c r="I118" s="17">
        <v>7.79</v>
      </c>
      <c r="J118" s="24"/>
    </row>
    <row r="119">
      <c r="A119" s="15" t="s">
        <v>529</v>
      </c>
      <c r="B119" s="17">
        <v>20.0</v>
      </c>
      <c r="C119" s="15" t="s">
        <v>19</v>
      </c>
      <c r="D119" s="17">
        <v>2.0</v>
      </c>
      <c r="E119" s="41"/>
      <c r="F119" s="41"/>
      <c r="G119" s="41"/>
      <c r="H119" s="41"/>
      <c r="I119" s="41"/>
      <c r="J119" s="24"/>
    </row>
    <row r="120">
      <c r="A120" s="15" t="s">
        <v>534</v>
      </c>
      <c r="B120" s="17">
        <v>20.0</v>
      </c>
      <c r="C120" s="15" t="s">
        <v>36</v>
      </c>
      <c r="D120" s="17">
        <v>1.0</v>
      </c>
      <c r="E120" s="41"/>
      <c r="F120" s="41"/>
      <c r="G120" s="41"/>
      <c r="H120" s="41"/>
      <c r="I120" s="41"/>
      <c r="J120" s="24"/>
    </row>
    <row r="121">
      <c r="A121" s="15" t="s">
        <v>538</v>
      </c>
      <c r="B121" s="17">
        <v>20.0</v>
      </c>
      <c r="C121" s="15" t="s">
        <v>36</v>
      </c>
      <c r="D121" s="17">
        <v>2.0</v>
      </c>
      <c r="E121" s="41"/>
      <c r="F121" s="41"/>
      <c r="G121" s="41"/>
      <c r="H121" s="41"/>
      <c r="I121" s="41"/>
      <c r="J121" s="24"/>
    </row>
    <row r="122">
      <c r="A122" s="7" t="s">
        <v>541</v>
      </c>
      <c r="B122" s="8">
        <v>21.0</v>
      </c>
      <c r="C122" s="7" t="s">
        <v>28</v>
      </c>
      <c r="D122" s="8">
        <v>1.0</v>
      </c>
      <c r="E122" s="39"/>
      <c r="F122" s="39"/>
      <c r="G122" s="39"/>
      <c r="H122" s="39"/>
      <c r="I122" s="39"/>
      <c r="J122" s="13"/>
    </row>
    <row r="123">
      <c r="A123" s="7" t="s">
        <v>545</v>
      </c>
      <c r="B123" s="8">
        <v>21.0</v>
      </c>
      <c r="C123" s="7" t="s">
        <v>28</v>
      </c>
      <c r="D123" s="8">
        <v>2.0</v>
      </c>
      <c r="E123" s="39"/>
      <c r="F123" s="39"/>
      <c r="G123" s="39"/>
      <c r="H123" s="39"/>
      <c r="I123" s="39"/>
      <c r="J123" s="13"/>
    </row>
    <row r="124">
      <c r="A124" s="7" t="s">
        <v>548</v>
      </c>
      <c r="B124" s="8">
        <v>21.0</v>
      </c>
      <c r="C124" s="7" t="s">
        <v>28</v>
      </c>
      <c r="D124" s="8">
        <v>3.0</v>
      </c>
      <c r="E124" s="39"/>
      <c r="F124" s="39"/>
      <c r="G124" s="39"/>
      <c r="H124" s="39"/>
      <c r="I124" s="39"/>
      <c r="J124" s="13"/>
    </row>
    <row r="125">
      <c r="A125" s="7" t="s">
        <v>552</v>
      </c>
      <c r="B125" s="8">
        <v>21.0</v>
      </c>
      <c r="C125" s="7" t="s">
        <v>19</v>
      </c>
      <c r="D125" s="8">
        <v>1.0</v>
      </c>
      <c r="E125" s="39"/>
      <c r="F125" s="39"/>
      <c r="G125" s="39"/>
      <c r="H125" s="39"/>
      <c r="I125" s="39"/>
      <c r="J125" s="13"/>
    </row>
    <row r="126">
      <c r="A126" s="15" t="s">
        <v>555</v>
      </c>
      <c r="B126" s="17">
        <v>22.0</v>
      </c>
      <c r="C126" s="15" t="s">
        <v>28</v>
      </c>
      <c r="D126" s="17">
        <v>1.0</v>
      </c>
      <c r="E126" s="40">
        <v>46224.0</v>
      </c>
      <c r="F126" s="17" t="s">
        <v>23</v>
      </c>
      <c r="G126" s="17">
        <v>97.4</v>
      </c>
      <c r="H126" s="17">
        <v>10.06</v>
      </c>
      <c r="I126" s="17">
        <v>7.98</v>
      </c>
      <c r="J126" s="24"/>
    </row>
    <row r="127">
      <c r="A127" s="15" t="s">
        <v>558</v>
      </c>
      <c r="B127" s="17">
        <v>22.0</v>
      </c>
      <c r="C127" s="15" t="s">
        <v>28</v>
      </c>
      <c r="D127" s="17">
        <v>3.0</v>
      </c>
      <c r="E127" s="40">
        <v>46224.0</v>
      </c>
      <c r="F127" s="17" t="s">
        <v>23</v>
      </c>
      <c r="G127" s="17">
        <v>97.4</v>
      </c>
      <c r="H127" s="17">
        <v>10.06</v>
      </c>
      <c r="I127" s="17">
        <v>7.91</v>
      </c>
      <c r="J127" s="24"/>
    </row>
    <row r="128">
      <c r="A128" s="15" t="s">
        <v>561</v>
      </c>
      <c r="B128" s="17">
        <v>22.0</v>
      </c>
      <c r="C128" s="15" t="s">
        <v>19</v>
      </c>
      <c r="D128" s="17">
        <v>1.0</v>
      </c>
      <c r="E128" s="40">
        <v>46224.0</v>
      </c>
      <c r="F128" s="17" t="s">
        <v>23</v>
      </c>
      <c r="G128" s="17">
        <v>97.4</v>
      </c>
      <c r="H128" s="17">
        <v>10.06</v>
      </c>
      <c r="I128" s="17">
        <v>7.99</v>
      </c>
      <c r="J128" s="24"/>
    </row>
    <row r="129">
      <c r="A129" s="15" t="s">
        <v>565</v>
      </c>
      <c r="B129" s="17">
        <v>22.0</v>
      </c>
      <c r="C129" s="15" t="s">
        <v>19</v>
      </c>
      <c r="D129" s="17">
        <v>2.0</v>
      </c>
      <c r="E129" s="40">
        <v>46224.0</v>
      </c>
      <c r="F129" s="17" t="s">
        <v>23</v>
      </c>
      <c r="G129" s="17">
        <v>97.4</v>
      </c>
      <c r="H129" s="17">
        <v>10.06</v>
      </c>
      <c r="I129" s="17">
        <v>7.96</v>
      </c>
      <c r="J129" s="24"/>
    </row>
    <row r="130">
      <c r="A130" s="15" t="s">
        <v>567</v>
      </c>
      <c r="B130" s="17">
        <v>22.0</v>
      </c>
      <c r="C130" s="15" t="s">
        <v>19</v>
      </c>
      <c r="D130" s="17">
        <v>3.0</v>
      </c>
      <c r="E130" s="41"/>
      <c r="F130" s="41"/>
      <c r="G130" s="41"/>
      <c r="H130" s="41"/>
      <c r="I130" s="41"/>
      <c r="J130" s="24"/>
    </row>
    <row r="131">
      <c r="A131" s="15" t="s">
        <v>571</v>
      </c>
      <c r="B131" s="17">
        <v>22.0</v>
      </c>
      <c r="C131" s="15" t="s">
        <v>36</v>
      </c>
      <c r="D131" s="17">
        <v>1.0</v>
      </c>
      <c r="E131" s="40"/>
      <c r="F131" s="41"/>
      <c r="G131" s="41"/>
      <c r="H131" s="41"/>
      <c r="I131" s="41"/>
      <c r="J131" s="24"/>
    </row>
    <row r="132">
      <c r="A132" s="15" t="s">
        <v>574</v>
      </c>
      <c r="B132" s="17">
        <v>22.0</v>
      </c>
      <c r="C132" s="15" t="s">
        <v>36</v>
      </c>
      <c r="D132" s="17">
        <v>3.0</v>
      </c>
      <c r="E132" s="40">
        <v>46224.0</v>
      </c>
      <c r="F132" s="17" t="s">
        <v>23</v>
      </c>
      <c r="G132" s="17">
        <v>97.4</v>
      </c>
      <c r="H132" s="17">
        <v>10.06</v>
      </c>
      <c r="I132" s="17">
        <v>7.97</v>
      </c>
      <c r="J132" s="24"/>
    </row>
    <row r="133">
      <c r="A133" s="7" t="s">
        <v>578</v>
      </c>
      <c r="B133" s="8">
        <v>23.0</v>
      </c>
      <c r="C133" s="7" t="s">
        <v>28</v>
      </c>
      <c r="D133" s="8">
        <v>1.0</v>
      </c>
      <c r="E133" s="35"/>
      <c r="F133" s="8"/>
      <c r="G133" s="39"/>
      <c r="H133" s="39"/>
      <c r="I133" s="39"/>
      <c r="J133" s="13"/>
    </row>
    <row r="134">
      <c r="A134" s="7" t="s">
        <v>581</v>
      </c>
      <c r="B134" s="8">
        <v>23.0</v>
      </c>
      <c r="C134" s="7" t="s">
        <v>28</v>
      </c>
      <c r="D134" s="8">
        <v>2.0</v>
      </c>
      <c r="E134" s="35">
        <v>46226.0</v>
      </c>
      <c r="F134" s="8" t="s">
        <v>23</v>
      </c>
      <c r="G134" s="8">
        <v>98.1</v>
      </c>
      <c r="H134" s="8">
        <v>10.04</v>
      </c>
      <c r="I134" s="8">
        <v>7.96</v>
      </c>
      <c r="J134" s="13"/>
    </row>
    <row r="135">
      <c r="A135" s="7" t="s">
        <v>584</v>
      </c>
      <c r="B135" s="8">
        <v>23.0</v>
      </c>
      <c r="C135" s="7" t="s">
        <v>28</v>
      </c>
      <c r="D135" s="8">
        <v>3.0</v>
      </c>
      <c r="E135" s="39"/>
      <c r="F135" s="39"/>
      <c r="G135" s="39"/>
      <c r="H135" s="39"/>
      <c r="I135" s="39"/>
      <c r="J135" s="13"/>
    </row>
    <row r="136">
      <c r="A136" s="7" t="s">
        <v>588</v>
      </c>
      <c r="B136" s="8">
        <v>23.0</v>
      </c>
      <c r="C136" s="7" t="s">
        <v>19</v>
      </c>
      <c r="D136" s="8">
        <v>1.0</v>
      </c>
      <c r="E136" s="35">
        <v>46226.0</v>
      </c>
      <c r="F136" s="8" t="s">
        <v>23</v>
      </c>
      <c r="G136" s="8">
        <v>98.1</v>
      </c>
      <c r="H136" s="8">
        <v>10.04</v>
      </c>
      <c r="I136" s="8">
        <v>8.03</v>
      </c>
      <c r="J136" s="13"/>
    </row>
    <row r="137">
      <c r="A137" s="7" t="s">
        <v>593</v>
      </c>
      <c r="B137" s="8">
        <v>23.0</v>
      </c>
      <c r="C137" s="7" t="s">
        <v>19</v>
      </c>
      <c r="D137" s="8">
        <v>3.0</v>
      </c>
      <c r="E137" s="39"/>
      <c r="F137" s="39"/>
      <c r="G137" s="39"/>
      <c r="H137" s="39"/>
      <c r="I137" s="39"/>
      <c r="J137" s="13"/>
    </row>
    <row r="138">
      <c r="A138" s="7" t="s">
        <v>598</v>
      </c>
      <c r="B138" s="8">
        <v>23.0</v>
      </c>
      <c r="C138" s="7" t="s">
        <v>36</v>
      </c>
      <c r="D138" s="8">
        <v>1.0</v>
      </c>
      <c r="E138" s="35">
        <v>46226.0</v>
      </c>
      <c r="F138" s="8" t="s">
        <v>23</v>
      </c>
      <c r="G138" s="8">
        <v>98.1</v>
      </c>
      <c r="H138" s="8">
        <v>10.04</v>
      </c>
      <c r="I138" s="8">
        <v>7.8</v>
      </c>
      <c r="J138" s="13"/>
    </row>
    <row r="139">
      <c r="A139" s="7" t="s">
        <v>601</v>
      </c>
      <c r="B139" s="8">
        <v>23.0</v>
      </c>
      <c r="C139" s="7" t="s">
        <v>36</v>
      </c>
      <c r="D139" s="8">
        <v>2.0</v>
      </c>
      <c r="E139" s="39"/>
      <c r="F139" s="39"/>
      <c r="G139" s="39"/>
      <c r="H139" s="39"/>
      <c r="I139" s="39"/>
      <c r="J139" s="13"/>
    </row>
    <row r="140">
      <c r="A140" s="7" t="s">
        <v>606</v>
      </c>
      <c r="B140" s="8">
        <v>23.0</v>
      </c>
      <c r="C140" s="7" t="s">
        <v>36</v>
      </c>
      <c r="D140" s="8">
        <v>3.0</v>
      </c>
      <c r="E140" s="39"/>
      <c r="F140" s="39"/>
      <c r="G140" s="39"/>
      <c r="H140" s="39"/>
      <c r="I140" s="39"/>
      <c r="J140" s="13"/>
    </row>
    <row r="141">
      <c r="A141" s="15" t="s">
        <v>610</v>
      </c>
      <c r="B141" s="17">
        <v>24.0</v>
      </c>
      <c r="C141" s="15" t="s">
        <v>28</v>
      </c>
      <c r="D141" s="17">
        <v>1.0</v>
      </c>
      <c r="E141" s="35">
        <v>46226.0</v>
      </c>
      <c r="F141" s="8" t="s">
        <v>23</v>
      </c>
      <c r="G141" s="8">
        <v>98.1</v>
      </c>
      <c r="H141" s="8">
        <v>10.04</v>
      </c>
      <c r="I141" s="17">
        <v>7.79</v>
      </c>
      <c r="J141" s="24"/>
    </row>
    <row r="142">
      <c r="A142" s="15" t="s">
        <v>613</v>
      </c>
      <c r="B142" s="17">
        <v>24.0</v>
      </c>
      <c r="C142" s="15" t="s">
        <v>28</v>
      </c>
      <c r="D142" s="17">
        <v>2.0</v>
      </c>
      <c r="E142" s="41"/>
      <c r="F142" s="41"/>
      <c r="G142" s="41"/>
      <c r="H142" s="41"/>
      <c r="I142" s="41"/>
      <c r="J142" s="24"/>
    </row>
    <row r="143">
      <c r="A143" s="15" t="s">
        <v>619</v>
      </c>
      <c r="B143" s="17">
        <v>24.0</v>
      </c>
      <c r="C143" s="15" t="s">
        <v>19</v>
      </c>
      <c r="D143" s="17">
        <v>1.0</v>
      </c>
      <c r="E143" s="41"/>
      <c r="F143" s="41"/>
      <c r="G143" s="41"/>
      <c r="H143" s="41"/>
      <c r="I143" s="41"/>
      <c r="J143" s="24"/>
    </row>
    <row r="144">
      <c r="A144" s="15" t="s">
        <v>623</v>
      </c>
      <c r="B144" s="17">
        <v>24.0</v>
      </c>
      <c r="C144" s="15" t="s">
        <v>19</v>
      </c>
      <c r="D144" s="17">
        <v>2.0</v>
      </c>
      <c r="E144" s="35">
        <v>46226.0</v>
      </c>
      <c r="F144" s="8" t="s">
        <v>23</v>
      </c>
      <c r="G144" s="8">
        <v>98.1</v>
      </c>
      <c r="H144" s="8">
        <v>10.04</v>
      </c>
      <c r="I144" s="17">
        <v>8.02</v>
      </c>
      <c r="J144" s="24"/>
    </row>
    <row r="145">
      <c r="A145" s="15" t="s">
        <v>626</v>
      </c>
      <c r="B145" s="17">
        <v>24.0</v>
      </c>
      <c r="C145" s="15" t="s">
        <v>36</v>
      </c>
      <c r="D145" s="17">
        <v>2.0</v>
      </c>
      <c r="E145" s="35">
        <v>46226.0</v>
      </c>
      <c r="F145" s="8" t="s">
        <v>23</v>
      </c>
      <c r="G145" s="8">
        <v>98.1</v>
      </c>
      <c r="H145" s="8">
        <v>10.04</v>
      </c>
      <c r="I145" s="17">
        <v>7.97</v>
      </c>
      <c r="J145" s="24"/>
    </row>
    <row r="146">
      <c r="A146" s="7" t="s">
        <v>631</v>
      </c>
      <c r="B146" s="8">
        <v>25.0</v>
      </c>
      <c r="C146" s="7" t="s">
        <v>28</v>
      </c>
      <c r="D146" s="8">
        <v>1.0</v>
      </c>
      <c r="E146" s="35">
        <v>46226.0</v>
      </c>
      <c r="F146" s="8" t="s">
        <v>23</v>
      </c>
      <c r="G146" s="8">
        <v>98.1</v>
      </c>
      <c r="H146" s="8">
        <v>10.04</v>
      </c>
      <c r="I146" s="8">
        <v>7.99</v>
      </c>
      <c r="J146" s="13"/>
    </row>
    <row r="147">
      <c r="A147" s="7" t="s">
        <v>636</v>
      </c>
      <c r="B147" s="8">
        <v>25.0</v>
      </c>
      <c r="C147" s="7" t="s">
        <v>28</v>
      </c>
      <c r="D147" s="8">
        <v>2.0</v>
      </c>
      <c r="E147" s="39"/>
      <c r="F147" s="39"/>
      <c r="G147" s="39"/>
      <c r="H147" s="39"/>
      <c r="I147" s="39"/>
      <c r="J147" s="13"/>
    </row>
    <row r="148">
      <c r="A148" s="7" t="s">
        <v>640</v>
      </c>
      <c r="B148" s="8">
        <v>25.0</v>
      </c>
      <c r="C148" s="7" t="s">
        <v>19</v>
      </c>
      <c r="D148" s="8">
        <v>1.0</v>
      </c>
      <c r="E148" s="39"/>
      <c r="F148" s="39"/>
      <c r="G148" s="39"/>
      <c r="H148" s="39"/>
      <c r="I148" s="39"/>
      <c r="J148" s="13"/>
    </row>
    <row r="149">
      <c r="A149" s="7" t="s">
        <v>644</v>
      </c>
      <c r="B149" s="8">
        <v>25.0</v>
      </c>
      <c r="C149" s="7" t="s">
        <v>19</v>
      </c>
      <c r="D149" s="8">
        <v>3.0</v>
      </c>
      <c r="E149" s="35">
        <v>46226.0</v>
      </c>
      <c r="F149" s="8" t="s">
        <v>23</v>
      </c>
      <c r="G149" s="8">
        <v>98.1</v>
      </c>
      <c r="H149" s="8">
        <v>10.04</v>
      </c>
      <c r="I149" s="8">
        <v>7.89</v>
      </c>
      <c r="J149" s="13"/>
    </row>
    <row r="150">
      <c r="A150" s="7" t="s">
        <v>649</v>
      </c>
      <c r="B150" s="8">
        <v>25.0</v>
      </c>
      <c r="C150" s="7" t="s">
        <v>36</v>
      </c>
      <c r="D150" s="8">
        <v>2.0</v>
      </c>
      <c r="E150" s="35">
        <v>46226.0</v>
      </c>
      <c r="F150" s="8" t="s">
        <v>23</v>
      </c>
      <c r="G150" s="8">
        <v>98.1</v>
      </c>
      <c r="H150" s="8">
        <v>10.04</v>
      </c>
      <c r="I150" s="8">
        <v>7.73</v>
      </c>
      <c r="J150" s="13"/>
    </row>
    <row r="151">
      <c r="A151" s="15" t="s">
        <v>652</v>
      </c>
      <c r="B151" s="17">
        <v>26.0</v>
      </c>
      <c r="C151" s="15" t="s">
        <v>28</v>
      </c>
      <c r="D151" s="17">
        <v>1.0</v>
      </c>
      <c r="E151" s="41"/>
      <c r="F151" s="41"/>
      <c r="G151" s="41"/>
      <c r="H151" s="41"/>
      <c r="I151" s="41"/>
      <c r="J151" s="7" t="s">
        <v>73</v>
      </c>
    </row>
    <row r="152">
      <c r="A152" s="15" t="s">
        <v>656</v>
      </c>
      <c r="B152" s="17">
        <v>26.0</v>
      </c>
      <c r="C152" s="15" t="s">
        <v>28</v>
      </c>
      <c r="D152" s="17">
        <v>2.0</v>
      </c>
      <c r="E152" s="41"/>
      <c r="F152" s="41"/>
      <c r="G152" s="41"/>
      <c r="H152" s="41"/>
      <c r="I152" s="41"/>
      <c r="J152" s="7" t="s">
        <v>73</v>
      </c>
    </row>
    <row r="153">
      <c r="A153" s="15" t="s">
        <v>659</v>
      </c>
      <c r="B153" s="17">
        <v>26.0</v>
      </c>
      <c r="C153" s="15" t="s">
        <v>28</v>
      </c>
      <c r="D153" s="17">
        <v>3.0</v>
      </c>
      <c r="E153" s="41"/>
      <c r="F153" s="41"/>
      <c r="G153" s="41"/>
      <c r="H153" s="41"/>
      <c r="I153" s="41"/>
      <c r="J153" s="7" t="s">
        <v>73</v>
      </c>
    </row>
    <row r="154">
      <c r="A154" s="15" t="s">
        <v>664</v>
      </c>
      <c r="B154" s="17">
        <v>26.0</v>
      </c>
      <c r="C154" s="15" t="s">
        <v>19</v>
      </c>
      <c r="D154" s="17">
        <v>1.0</v>
      </c>
      <c r="E154" s="41"/>
      <c r="F154" s="41"/>
      <c r="G154" s="41"/>
      <c r="H154" s="41"/>
      <c r="I154" s="41"/>
      <c r="J154" s="7" t="s">
        <v>73</v>
      </c>
    </row>
    <row r="155">
      <c r="A155" s="15" t="s">
        <v>668</v>
      </c>
      <c r="B155" s="17">
        <v>26.0</v>
      </c>
      <c r="C155" s="15" t="s">
        <v>19</v>
      </c>
      <c r="D155" s="17">
        <v>2.0</v>
      </c>
      <c r="E155" s="41"/>
      <c r="F155" s="41"/>
      <c r="G155" s="41"/>
      <c r="H155" s="41"/>
      <c r="I155" s="41"/>
      <c r="J155" s="7" t="s">
        <v>73</v>
      </c>
    </row>
    <row r="156">
      <c r="A156" s="15" t="s">
        <v>673</v>
      </c>
      <c r="B156" s="17">
        <v>26.0</v>
      </c>
      <c r="C156" s="15" t="s">
        <v>19</v>
      </c>
      <c r="D156" s="17">
        <v>3.0</v>
      </c>
      <c r="E156" s="41"/>
      <c r="F156" s="41"/>
      <c r="G156" s="41"/>
      <c r="H156" s="41"/>
      <c r="I156" s="41"/>
      <c r="J156" s="7" t="s">
        <v>73</v>
      </c>
    </row>
    <row r="157">
      <c r="A157" s="15" t="s">
        <v>677</v>
      </c>
      <c r="B157" s="17">
        <v>26.0</v>
      </c>
      <c r="C157" s="15" t="s">
        <v>36</v>
      </c>
      <c r="D157" s="17">
        <v>2.0</v>
      </c>
      <c r="E157" s="41"/>
      <c r="F157" s="41"/>
      <c r="G157" s="41"/>
      <c r="H157" s="41"/>
      <c r="I157" s="41"/>
      <c r="J157" s="7" t="s">
        <v>73</v>
      </c>
    </row>
    <row r="158">
      <c r="A158" s="15" t="s">
        <v>680</v>
      </c>
      <c r="B158" s="17">
        <v>26.0</v>
      </c>
      <c r="C158" s="15" t="s">
        <v>36</v>
      </c>
      <c r="D158" s="17">
        <v>3.0</v>
      </c>
      <c r="E158" s="41"/>
      <c r="F158" s="41"/>
      <c r="G158" s="41"/>
      <c r="H158" s="41"/>
      <c r="I158" s="41"/>
      <c r="J158" s="7" t="s">
        <v>73</v>
      </c>
    </row>
    <row r="159">
      <c r="A159" s="7" t="s">
        <v>684</v>
      </c>
      <c r="B159" s="8">
        <v>27.0</v>
      </c>
      <c r="C159" s="7" t="s">
        <v>28</v>
      </c>
      <c r="D159" s="8">
        <v>2.0</v>
      </c>
      <c r="E159" s="35">
        <v>46226.0</v>
      </c>
      <c r="F159" s="8" t="s">
        <v>23</v>
      </c>
      <c r="G159" s="8">
        <v>98.1</v>
      </c>
      <c r="H159" s="8">
        <v>10.04</v>
      </c>
      <c r="I159" s="8">
        <v>7.92</v>
      </c>
      <c r="J159" s="13"/>
    </row>
    <row r="160">
      <c r="A160" s="7" t="s">
        <v>688</v>
      </c>
      <c r="B160" s="8">
        <v>27.0</v>
      </c>
      <c r="C160" s="7" t="s">
        <v>28</v>
      </c>
      <c r="D160" s="8">
        <v>3.0</v>
      </c>
      <c r="E160" s="39"/>
      <c r="F160" s="39"/>
      <c r="G160" s="39"/>
      <c r="H160" s="39"/>
      <c r="I160" s="39"/>
      <c r="J160" s="13"/>
    </row>
    <row r="161">
      <c r="A161" s="7" t="s">
        <v>692</v>
      </c>
      <c r="B161" s="8">
        <v>27.0</v>
      </c>
      <c r="C161" s="7" t="s">
        <v>19</v>
      </c>
      <c r="D161" s="8">
        <v>1.0</v>
      </c>
      <c r="E161" s="35">
        <v>46226.0</v>
      </c>
      <c r="F161" s="8" t="s">
        <v>23</v>
      </c>
      <c r="G161" s="8">
        <v>98.1</v>
      </c>
      <c r="H161" s="8">
        <v>10.04</v>
      </c>
      <c r="I161" s="8">
        <v>7.89</v>
      </c>
      <c r="J161" s="13"/>
    </row>
    <row r="162">
      <c r="A162" s="7" t="s">
        <v>696</v>
      </c>
      <c r="B162" s="8">
        <v>27.0</v>
      </c>
      <c r="C162" s="7" t="s">
        <v>19</v>
      </c>
      <c r="D162" s="8">
        <v>2.0</v>
      </c>
      <c r="E162" s="39"/>
      <c r="F162" s="39"/>
      <c r="G162" s="39"/>
      <c r="H162" s="39"/>
      <c r="I162" s="39"/>
      <c r="J162" s="13"/>
    </row>
    <row r="163">
      <c r="A163" s="7" t="s">
        <v>699</v>
      </c>
      <c r="B163" s="8">
        <v>27.0</v>
      </c>
      <c r="C163" s="7" t="s">
        <v>19</v>
      </c>
      <c r="D163" s="8">
        <v>3.0</v>
      </c>
      <c r="E163" s="39"/>
      <c r="F163" s="39"/>
      <c r="G163" s="39"/>
      <c r="H163" s="39"/>
      <c r="I163" s="39"/>
      <c r="J163" s="13"/>
    </row>
    <row r="164">
      <c r="A164" s="7" t="s">
        <v>703</v>
      </c>
      <c r="B164" s="8">
        <v>27.0</v>
      </c>
      <c r="C164" s="7" t="s">
        <v>36</v>
      </c>
      <c r="D164" s="8">
        <v>1.0</v>
      </c>
      <c r="E164" s="39"/>
      <c r="F164" s="39"/>
      <c r="G164" s="39"/>
      <c r="H164" s="39"/>
      <c r="I164" s="39"/>
      <c r="J164" s="13"/>
    </row>
    <row r="165">
      <c r="A165" s="7" t="s">
        <v>706</v>
      </c>
      <c r="B165" s="8">
        <v>27.0</v>
      </c>
      <c r="C165" s="7" t="s">
        <v>36</v>
      </c>
      <c r="D165" s="8">
        <v>2.0</v>
      </c>
      <c r="E165" s="35">
        <v>46226.0</v>
      </c>
      <c r="F165" s="8" t="s">
        <v>23</v>
      </c>
      <c r="G165" s="8">
        <v>98.1</v>
      </c>
      <c r="H165" s="8">
        <v>10.04</v>
      </c>
      <c r="I165" s="8">
        <v>7.29</v>
      </c>
      <c r="J165" s="13"/>
    </row>
    <row r="166">
      <c r="A166" s="15" t="s">
        <v>710</v>
      </c>
      <c r="B166" s="17">
        <v>28.0</v>
      </c>
      <c r="C166" s="15" t="s">
        <v>28</v>
      </c>
      <c r="D166" s="17">
        <v>1.0</v>
      </c>
      <c r="E166" s="41"/>
      <c r="F166" s="41"/>
      <c r="G166" s="41"/>
      <c r="H166" s="41"/>
      <c r="I166" s="41"/>
      <c r="J166" s="24"/>
    </row>
    <row r="167">
      <c r="A167" s="15" t="s">
        <v>713</v>
      </c>
      <c r="B167" s="17">
        <v>28.0</v>
      </c>
      <c r="C167" s="15" t="s">
        <v>28</v>
      </c>
      <c r="D167" s="17">
        <v>2.0</v>
      </c>
      <c r="E167" s="35">
        <v>46226.0</v>
      </c>
      <c r="F167" s="8" t="s">
        <v>23</v>
      </c>
      <c r="G167" s="8">
        <v>98.1</v>
      </c>
      <c r="H167" s="8">
        <v>10.04</v>
      </c>
      <c r="I167" s="17">
        <v>8.0</v>
      </c>
      <c r="J167" s="24"/>
    </row>
    <row r="168">
      <c r="A168" s="15" t="s">
        <v>716</v>
      </c>
      <c r="B168" s="17">
        <v>28.0</v>
      </c>
      <c r="C168" s="15" t="s">
        <v>28</v>
      </c>
      <c r="D168" s="17">
        <v>3.0</v>
      </c>
      <c r="E168" s="41"/>
      <c r="F168" s="41"/>
      <c r="G168" s="41"/>
      <c r="H168" s="41"/>
      <c r="I168" s="41"/>
      <c r="J168" s="24"/>
    </row>
    <row r="169">
      <c r="A169" s="15" t="s">
        <v>719</v>
      </c>
      <c r="B169" s="17">
        <v>28.0</v>
      </c>
      <c r="C169" s="15" t="s">
        <v>19</v>
      </c>
      <c r="D169" s="17">
        <v>1.0</v>
      </c>
      <c r="E169" s="35">
        <v>46226.0</v>
      </c>
      <c r="F169" s="8" t="s">
        <v>23</v>
      </c>
      <c r="G169" s="8">
        <v>98.1</v>
      </c>
      <c r="H169" s="8">
        <v>10.04</v>
      </c>
      <c r="I169" s="17">
        <v>7.98</v>
      </c>
      <c r="J169" s="24"/>
    </row>
    <row r="170">
      <c r="A170" s="15" t="s">
        <v>723</v>
      </c>
      <c r="B170" s="17">
        <v>28.0</v>
      </c>
      <c r="C170" s="15" t="s">
        <v>19</v>
      </c>
      <c r="D170" s="17">
        <v>3.0</v>
      </c>
      <c r="E170" s="41"/>
      <c r="F170" s="41"/>
      <c r="G170" s="41"/>
      <c r="H170" s="41"/>
      <c r="I170" s="41"/>
      <c r="J170" s="24"/>
    </row>
    <row r="171">
      <c r="A171" s="15" t="s">
        <v>725</v>
      </c>
      <c r="B171" s="17">
        <v>28.0</v>
      </c>
      <c r="C171" s="15" t="s">
        <v>36</v>
      </c>
      <c r="D171" s="17">
        <v>1.0</v>
      </c>
      <c r="E171" s="41"/>
      <c r="F171" s="41"/>
      <c r="G171" s="41"/>
      <c r="H171" s="41"/>
      <c r="I171" s="41"/>
      <c r="J171" s="24"/>
    </row>
    <row r="172">
      <c r="A172" s="15" t="s">
        <v>729</v>
      </c>
      <c r="B172" s="17">
        <v>28.0</v>
      </c>
      <c r="C172" s="15" t="s">
        <v>36</v>
      </c>
      <c r="D172" s="17">
        <v>3.0</v>
      </c>
      <c r="E172" s="35">
        <v>46226.0</v>
      </c>
      <c r="F172" s="8" t="s">
        <v>23</v>
      </c>
      <c r="G172" s="8">
        <v>98.1</v>
      </c>
      <c r="H172" s="8">
        <v>10.04</v>
      </c>
      <c r="I172" s="17">
        <v>8.01</v>
      </c>
      <c r="J172" s="24"/>
    </row>
    <row r="173">
      <c r="A173" s="7" t="s">
        <v>733</v>
      </c>
      <c r="B173" s="8">
        <v>29.0</v>
      </c>
      <c r="C173" s="7" t="s">
        <v>28</v>
      </c>
      <c r="D173" s="8">
        <v>1.0</v>
      </c>
      <c r="E173" s="35">
        <v>46226.0</v>
      </c>
      <c r="F173" s="8" t="s">
        <v>23</v>
      </c>
      <c r="G173" s="8">
        <v>98.1</v>
      </c>
      <c r="H173" s="8">
        <v>10.04</v>
      </c>
      <c r="I173" s="8">
        <v>7.78</v>
      </c>
      <c r="J173" s="13"/>
    </row>
    <row r="174">
      <c r="A174" s="7" t="s">
        <v>736</v>
      </c>
      <c r="B174" s="8">
        <v>29.0</v>
      </c>
      <c r="C174" s="7" t="s">
        <v>28</v>
      </c>
      <c r="D174" s="8">
        <v>2.0</v>
      </c>
      <c r="E174" s="39"/>
      <c r="F174" s="39"/>
      <c r="G174" s="39"/>
      <c r="H174" s="39"/>
      <c r="I174" s="39"/>
      <c r="J174" s="13"/>
    </row>
    <row r="175">
      <c r="A175" s="7" t="s">
        <v>741</v>
      </c>
      <c r="B175" s="8">
        <v>29.0</v>
      </c>
      <c r="C175" s="7" t="s">
        <v>19</v>
      </c>
      <c r="D175" s="8">
        <v>1.0</v>
      </c>
      <c r="E175" s="39"/>
      <c r="F175" s="39"/>
      <c r="G175" s="39"/>
      <c r="H175" s="39"/>
      <c r="I175" s="39"/>
      <c r="J175" s="13"/>
    </row>
    <row r="176">
      <c r="A176" s="7" t="s">
        <v>746</v>
      </c>
      <c r="B176" s="8">
        <v>29.0</v>
      </c>
      <c r="C176" s="7" t="s">
        <v>19</v>
      </c>
      <c r="D176" s="8">
        <v>2.0</v>
      </c>
      <c r="E176" s="35">
        <v>46226.0</v>
      </c>
      <c r="F176" s="8" t="s">
        <v>23</v>
      </c>
      <c r="G176" s="8">
        <v>98.1</v>
      </c>
      <c r="H176" s="8">
        <v>10.04</v>
      </c>
      <c r="I176" s="8">
        <v>8.03</v>
      </c>
      <c r="J176" s="13"/>
    </row>
    <row r="177">
      <c r="A177" s="7" t="s">
        <v>749</v>
      </c>
      <c r="B177" s="8">
        <v>29.0</v>
      </c>
      <c r="C177" s="7" t="s">
        <v>19</v>
      </c>
      <c r="D177" s="8">
        <v>3.0</v>
      </c>
      <c r="E177" s="39"/>
      <c r="F177" s="39"/>
      <c r="G177" s="39"/>
      <c r="H177" s="39"/>
      <c r="I177" s="39"/>
      <c r="J177" s="13"/>
    </row>
    <row r="178">
      <c r="A178" s="7" t="s">
        <v>753</v>
      </c>
      <c r="B178" s="8">
        <v>29.0</v>
      </c>
      <c r="C178" s="7" t="s">
        <v>36</v>
      </c>
      <c r="D178" s="8">
        <v>1.0</v>
      </c>
      <c r="E178" s="39"/>
      <c r="F178" s="39"/>
      <c r="G178" s="39"/>
      <c r="H178" s="39"/>
      <c r="I178" s="39"/>
      <c r="J178" s="13"/>
    </row>
    <row r="179">
      <c r="A179" s="7" t="s">
        <v>758</v>
      </c>
      <c r="B179" s="8">
        <v>29.0</v>
      </c>
      <c r="C179" s="7" t="s">
        <v>36</v>
      </c>
      <c r="D179" s="8">
        <v>2.0</v>
      </c>
      <c r="E179" s="39"/>
      <c r="F179" s="39"/>
      <c r="G179" s="39"/>
      <c r="H179" s="39"/>
      <c r="I179" s="39"/>
      <c r="J179" s="13"/>
    </row>
    <row r="180">
      <c r="A180" s="7" t="s">
        <v>761</v>
      </c>
      <c r="B180" s="8">
        <v>29.0</v>
      </c>
      <c r="C180" s="7" t="s">
        <v>36</v>
      </c>
      <c r="D180" s="8">
        <v>3.0</v>
      </c>
      <c r="E180" s="35">
        <v>46226.0</v>
      </c>
      <c r="F180" s="8" t="s">
        <v>23</v>
      </c>
      <c r="G180" s="8">
        <v>98.1</v>
      </c>
      <c r="H180" s="8">
        <v>10.04</v>
      </c>
      <c r="I180" s="8">
        <v>7.94</v>
      </c>
      <c r="J180" s="13"/>
    </row>
    <row r="181">
      <c r="A181" s="15" t="s">
        <v>765</v>
      </c>
      <c r="B181" s="17">
        <v>30.0</v>
      </c>
      <c r="C181" s="15" t="s">
        <v>28</v>
      </c>
      <c r="D181" s="17">
        <v>1.0</v>
      </c>
      <c r="E181" s="41"/>
      <c r="F181" s="41"/>
      <c r="G181" s="41"/>
      <c r="H181" s="41"/>
      <c r="I181" s="41"/>
      <c r="J181" s="24"/>
    </row>
    <row r="182">
      <c r="A182" s="15" t="s">
        <v>767</v>
      </c>
      <c r="B182" s="17">
        <v>30.0</v>
      </c>
      <c r="C182" s="15" t="s">
        <v>28</v>
      </c>
      <c r="D182" s="17">
        <v>2.0</v>
      </c>
      <c r="E182" s="41"/>
      <c r="F182" s="41"/>
      <c r="G182" s="41"/>
      <c r="H182" s="41"/>
      <c r="I182" s="41"/>
      <c r="J182" s="24"/>
    </row>
    <row r="183">
      <c r="A183" s="15" t="s">
        <v>773</v>
      </c>
      <c r="B183" s="17">
        <v>30.0</v>
      </c>
      <c r="C183" s="15" t="s">
        <v>28</v>
      </c>
      <c r="D183" s="17">
        <v>3.0</v>
      </c>
      <c r="E183" s="35">
        <v>46226.0</v>
      </c>
      <c r="F183" s="8" t="s">
        <v>23</v>
      </c>
      <c r="G183" s="8">
        <v>98.1</v>
      </c>
      <c r="H183" s="8">
        <v>10.04</v>
      </c>
      <c r="I183" s="17">
        <v>7.93</v>
      </c>
      <c r="J183" s="24"/>
    </row>
    <row r="184">
      <c r="A184" s="15" t="s">
        <v>777</v>
      </c>
      <c r="B184" s="17">
        <v>30.0</v>
      </c>
      <c r="C184" s="15" t="s">
        <v>19</v>
      </c>
      <c r="D184" s="17">
        <v>1.0</v>
      </c>
      <c r="E184" s="35">
        <v>46226.0</v>
      </c>
      <c r="F184" s="8" t="s">
        <v>23</v>
      </c>
      <c r="G184" s="8">
        <v>98.1</v>
      </c>
      <c r="H184" s="8">
        <v>10.04</v>
      </c>
      <c r="I184" s="17">
        <v>8.1</v>
      </c>
      <c r="J184" s="24"/>
    </row>
    <row r="185">
      <c r="A185" s="15" t="s">
        <v>782</v>
      </c>
      <c r="B185" s="17">
        <v>30.0</v>
      </c>
      <c r="C185" s="15" t="s">
        <v>36</v>
      </c>
      <c r="D185" s="17">
        <v>1.0</v>
      </c>
      <c r="E185" s="35">
        <v>46226.0</v>
      </c>
      <c r="F185" s="8" t="s">
        <v>23</v>
      </c>
      <c r="G185" s="8">
        <v>98.1</v>
      </c>
      <c r="H185" s="8">
        <v>10.04</v>
      </c>
      <c r="I185" s="17">
        <v>8.04</v>
      </c>
      <c r="J185" s="24"/>
    </row>
    <row r="186">
      <c r="A186" s="15" t="s">
        <v>786</v>
      </c>
      <c r="B186" s="17">
        <v>30.0</v>
      </c>
      <c r="C186" s="15" t="s">
        <v>36</v>
      </c>
      <c r="D186" s="17">
        <v>3.0</v>
      </c>
      <c r="E186" s="41"/>
      <c r="F186" s="41"/>
      <c r="G186" s="41"/>
      <c r="H186" s="41"/>
      <c r="I186" s="41"/>
      <c r="J186" s="24"/>
    </row>
    <row r="187">
      <c r="A187" s="7" t="s">
        <v>791</v>
      </c>
      <c r="B187" s="8">
        <v>31.0</v>
      </c>
      <c r="C187" s="7" t="s">
        <v>28</v>
      </c>
      <c r="D187" s="8">
        <v>2.0</v>
      </c>
      <c r="E187" s="35">
        <v>46226.0</v>
      </c>
      <c r="F187" s="8" t="s">
        <v>23</v>
      </c>
      <c r="G187" s="8">
        <v>98.1</v>
      </c>
      <c r="H187" s="8">
        <v>10.04</v>
      </c>
      <c r="I187" s="8">
        <v>8.16</v>
      </c>
      <c r="J187" s="13"/>
    </row>
    <row r="188">
      <c r="A188" s="7" t="s">
        <v>794</v>
      </c>
      <c r="B188" s="8">
        <v>31.0</v>
      </c>
      <c r="C188" s="7" t="s">
        <v>28</v>
      </c>
      <c r="D188" s="8">
        <v>3.0</v>
      </c>
      <c r="E188" s="39"/>
      <c r="F188" s="39"/>
      <c r="G188" s="39"/>
      <c r="H188" s="39"/>
      <c r="I188" s="39"/>
      <c r="J188" s="13"/>
    </row>
    <row r="189">
      <c r="A189" s="7" t="s">
        <v>798</v>
      </c>
      <c r="B189" s="8">
        <v>31.0</v>
      </c>
      <c r="C189" s="7" t="s">
        <v>19</v>
      </c>
      <c r="D189" s="8">
        <v>2.0</v>
      </c>
      <c r="E189" s="51">
        <v>46226.0</v>
      </c>
      <c r="F189" s="52" t="s">
        <v>23</v>
      </c>
      <c r="G189" s="52">
        <v>98.1</v>
      </c>
      <c r="H189" s="53">
        <v>10.06</v>
      </c>
      <c r="I189" s="8">
        <v>8.27</v>
      </c>
      <c r="J189" s="13"/>
    </row>
    <row r="190">
      <c r="A190" s="7" t="s">
        <v>805</v>
      </c>
      <c r="B190" s="8">
        <v>31.0</v>
      </c>
      <c r="C190" s="7" t="s">
        <v>36</v>
      </c>
      <c r="D190" s="8">
        <v>2.0</v>
      </c>
      <c r="E190" s="51">
        <v>46226.0</v>
      </c>
      <c r="F190" s="52" t="s">
        <v>23</v>
      </c>
      <c r="G190" s="52">
        <v>98.1</v>
      </c>
      <c r="H190" s="53">
        <v>10.06</v>
      </c>
      <c r="I190" s="8">
        <v>8.0</v>
      </c>
      <c r="J190" s="13"/>
    </row>
    <row r="191">
      <c r="A191" s="7" t="s">
        <v>810</v>
      </c>
      <c r="B191" s="8">
        <v>31.0</v>
      </c>
      <c r="C191" s="7" t="s">
        <v>36</v>
      </c>
      <c r="D191" s="8">
        <v>3.0</v>
      </c>
      <c r="E191" s="39"/>
      <c r="F191" s="39"/>
      <c r="G191" s="39"/>
      <c r="H191" s="39"/>
      <c r="I191" s="39"/>
      <c r="J191" s="13"/>
    </row>
    <row r="192">
      <c r="A192" s="15" t="s">
        <v>813</v>
      </c>
      <c r="B192" s="17">
        <v>32.0</v>
      </c>
      <c r="C192" s="15" t="s">
        <v>19</v>
      </c>
      <c r="D192" s="17">
        <v>3.0</v>
      </c>
      <c r="E192" s="51">
        <v>46226.0</v>
      </c>
      <c r="F192" s="52" t="s">
        <v>23</v>
      </c>
      <c r="G192" s="52">
        <v>98.1</v>
      </c>
      <c r="H192" s="53">
        <v>10.06</v>
      </c>
      <c r="I192" s="17">
        <v>8.1</v>
      </c>
      <c r="J192" s="24"/>
    </row>
    <row r="193">
      <c r="A193" s="15" t="s">
        <v>819</v>
      </c>
      <c r="B193" s="17">
        <v>32.0</v>
      </c>
      <c r="C193" s="15" t="s">
        <v>36</v>
      </c>
      <c r="D193" s="17">
        <v>1.0</v>
      </c>
      <c r="E193" s="41"/>
      <c r="F193" s="41"/>
      <c r="G193" s="41"/>
      <c r="H193" s="41"/>
      <c r="I193" s="41"/>
      <c r="J193" s="24"/>
    </row>
    <row r="194">
      <c r="A194" s="15" t="s">
        <v>823</v>
      </c>
      <c r="B194" s="17">
        <v>32.0</v>
      </c>
      <c r="C194" s="15" t="s">
        <v>36</v>
      </c>
      <c r="D194" s="17">
        <v>2.0</v>
      </c>
      <c r="E194" s="41"/>
      <c r="F194" s="41"/>
      <c r="G194" s="41"/>
      <c r="H194" s="41"/>
      <c r="I194" s="41"/>
      <c r="J194" s="24"/>
    </row>
    <row r="195">
      <c r="A195" s="15" t="s">
        <v>827</v>
      </c>
      <c r="B195" s="17">
        <v>32.0</v>
      </c>
      <c r="C195" s="15" t="s">
        <v>36</v>
      </c>
      <c r="D195" s="17">
        <v>3.0</v>
      </c>
      <c r="E195" s="51">
        <v>46226.0</v>
      </c>
      <c r="F195" s="52" t="s">
        <v>23</v>
      </c>
      <c r="G195" s="52">
        <v>98.1</v>
      </c>
      <c r="H195" s="53">
        <v>10.06</v>
      </c>
      <c r="I195" s="17">
        <v>8.04</v>
      </c>
      <c r="J195" s="24"/>
    </row>
    <row r="196">
      <c r="A196" s="7" t="s">
        <v>831</v>
      </c>
      <c r="B196" s="8">
        <v>33.0</v>
      </c>
      <c r="C196" s="7" t="s">
        <v>28</v>
      </c>
      <c r="D196" s="8">
        <v>1.0</v>
      </c>
      <c r="E196" s="39"/>
      <c r="F196" s="39"/>
      <c r="G196" s="39"/>
      <c r="H196" s="39"/>
      <c r="I196" s="39"/>
      <c r="J196" s="13"/>
    </row>
    <row r="197">
      <c r="A197" s="7" t="s">
        <v>834</v>
      </c>
      <c r="B197" s="8">
        <v>33.0</v>
      </c>
      <c r="C197" s="7" t="s">
        <v>28</v>
      </c>
      <c r="D197" s="8">
        <v>2.0</v>
      </c>
      <c r="E197" s="51">
        <v>46226.0</v>
      </c>
      <c r="F197" s="52" t="s">
        <v>23</v>
      </c>
      <c r="G197" s="52">
        <v>98.1</v>
      </c>
      <c r="H197" s="53">
        <v>10.06</v>
      </c>
      <c r="I197" s="8">
        <v>8.08</v>
      </c>
      <c r="J197" s="13"/>
    </row>
    <row r="198">
      <c r="A198" s="7" t="s">
        <v>839</v>
      </c>
      <c r="B198" s="8">
        <v>33.0</v>
      </c>
      <c r="C198" s="7" t="s">
        <v>19</v>
      </c>
      <c r="D198" s="8">
        <v>1.0</v>
      </c>
      <c r="E198" s="51">
        <v>46226.0</v>
      </c>
      <c r="F198" s="52" t="s">
        <v>23</v>
      </c>
      <c r="G198" s="52">
        <v>98.1</v>
      </c>
      <c r="H198" s="53">
        <v>10.06</v>
      </c>
      <c r="I198" s="8">
        <v>7.9</v>
      </c>
      <c r="J198" s="13"/>
    </row>
    <row r="199">
      <c r="A199" s="7" t="s">
        <v>843</v>
      </c>
      <c r="B199" s="8">
        <v>33.0</v>
      </c>
      <c r="C199" s="7" t="s">
        <v>19</v>
      </c>
      <c r="D199" s="8">
        <v>2.0</v>
      </c>
      <c r="E199" s="39"/>
      <c r="F199" s="39"/>
      <c r="G199" s="39"/>
      <c r="H199" s="39"/>
      <c r="I199" s="39"/>
      <c r="J199" s="13"/>
    </row>
    <row r="200">
      <c r="A200" s="7" t="s">
        <v>846</v>
      </c>
      <c r="B200" s="8">
        <v>33.0</v>
      </c>
      <c r="C200" s="7" t="s">
        <v>19</v>
      </c>
      <c r="D200" s="8">
        <v>3.0</v>
      </c>
      <c r="E200" s="39"/>
      <c r="F200" s="39"/>
      <c r="G200" s="39"/>
      <c r="H200" s="39"/>
      <c r="I200" s="39"/>
      <c r="J200" s="13"/>
    </row>
    <row r="201">
      <c r="A201" s="7" t="s">
        <v>851</v>
      </c>
      <c r="B201" s="8">
        <v>33.0</v>
      </c>
      <c r="C201" s="7" t="s">
        <v>36</v>
      </c>
      <c r="D201" s="8">
        <v>1.0</v>
      </c>
      <c r="E201" s="39"/>
      <c r="F201" s="39"/>
      <c r="G201" s="39"/>
      <c r="H201" s="39"/>
      <c r="I201" s="39"/>
      <c r="J201" s="13"/>
    </row>
    <row r="202">
      <c r="A202" s="7" t="s">
        <v>855</v>
      </c>
      <c r="B202" s="8">
        <v>33.0</v>
      </c>
      <c r="C202" s="7" t="s">
        <v>36</v>
      </c>
      <c r="D202" s="8">
        <v>2.0</v>
      </c>
      <c r="E202" s="51">
        <v>46226.0</v>
      </c>
      <c r="F202" s="52" t="s">
        <v>23</v>
      </c>
      <c r="G202" s="52">
        <v>98.1</v>
      </c>
      <c r="H202" s="53">
        <v>10.06</v>
      </c>
      <c r="I202" s="8">
        <v>7.7</v>
      </c>
      <c r="J202" s="13"/>
    </row>
    <row r="203">
      <c r="A203" s="15" t="s">
        <v>860</v>
      </c>
      <c r="B203" s="17">
        <v>34.0</v>
      </c>
      <c r="C203" s="15" t="s">
        <v>28</v>
      </c>
      <c r="D203" s="17">
        <v>1.0</v>
      </c>
      <c r="E203" s="41"/>
      <c r="F203" s="41"/>
      <c r="G203" s="41"/>
      <c r="H203" s="41"/>
      <c r="I203" s="41"/>
      <c r="J203" s="24"/>
    </row>
    <row r="204">
      <c r="A204" s="15" t="s">
        <v>864</v>
      </c>
      <c r="B204" s="17">
        <v>34.0</v>
      </c>
      <c r="C204" s="15" t="s">
        <v>28</v>
      </c>
      <c r="D204" s="17">
        <v>3.0</v>
      </c>
      <c r="E204" s="51">
        <v>46226.0</v>
      </c>
      <c r="F204" s="52" t="s">
        <v>23</v>
      </c>
      <c r="G204" s="52">
        <v>98.1</v>
      </c>
      <c r="H204" s="53">
        <v>10.06</v>
      </c>
      <c r="I204" s="17">
        <v>7.87</v>
      </c>
      <c r="J204" s="24"/>
    </row>
    <row r="205">
      <c r="A205" s="15" t="s">
        <v>867</v>
      </c>
      <c r="B205" s="17">
        <v>34.0</v>
      </c>
      <c r="C205" s="15" t="s">
        <v>19</v>
      </c>
      <c r="D205" s="17">
        <v>2.0</v>
      </c>
      <c r="E205" s="41"/>
      <c r="F205" s="41"/>
      <c r="G205" s="41"/>
      <c r="H205" s="41"/>
      <c r="I205" s="41"/>
      <c r="J205" s="24"/>
    </row>
    <row r="206">
      <c r="A206" s="15" t="s">
        <v>870</v>
      </c>
      <c r="B206" s="17">
        <v>34.0</v>
      </c>
      <c r="C206" s="15" t="s">
        <v>19</v>
      </c>
      <c r="D206" s="17">
        <v>3.0</v>
      </c>
      <c r="E206" s="51">
        <v>46226.0</v>
      </c>
      <c r="F206" s="52" t="s">
        <v>23</v>
      </c>
      <c r="G206" s="52">
        <v>98.1</v>
      </c>
      <c r="H206" s="53">
        <v>10.06</v>
      </c>
      <c r="I206" s="17">
        <v>7.81</v>
      </c>
      <c r="J206" s="24"/>
    </row>
    <row r="207">
      <c r="A207" s="15" t="s">
        <v>874</v>
      </c>
      <c r="B207" s="17">
        <v>34.0</v>
      </c>
      <c r="C207" s="15" t="s">
        <v>36</v>
      </c>
      <c r="D207" s="17">
        <v>1.0</v>
      </c>
      <c r="E207" s="51">
        <v>46226.0</v>
      </c>
      <c r="F207" s="52" t="s">
        <v>23</v>
      </c>
      <c r="G207" s="52">
        <v>98.1</v>
      </c>
      <c r="H207" s="53">
        <v>10.06</v>
      </c>
      <c r="I207" s="17">
        <v>7.8</v>
      </c>
      <c r="J207" s="24"/>
    </row>
    <row r="208">
      <c r="A208" s="15" t="s">
        <v>876</v>
      </c>
      <c r="B208" s="17">
        <v>34.0</v>
      </c>
      <c r="C208" s="15" t="s">
        <v>36</v>
      </c>
      <c r="D208" s="17">
        <v>3.0</v>
      </c>
      <c r="E208" s="41"/>
      <c r="F208" s="41"/>
      <c r="G208" s="41"/>
      <c r="H208" s="41"/>
      <c r="I208" s="41"/>
      <c r="J208" s="24"/>
    </row>
    <row r="209">
      <c r="A209" s="7" t="s">
        <v>879</v>
      </c>
      <c r="B209" s="8">
        <v>35.0</v>
      </c>
      <c r="C209" s="7" t="s">
        <v>28</v>
      </c>
      <c r="D209" s="8">
        <v>1.0</v>
      </c>
      <c r="E209" s="35"/>
      <c r="F209" s="8"/>
      <c r="G209" s="8"/>
      <c r="H209" s="8"/>
      <c r="I209" s="39"/>
      <c r="J209" s="13"/>
    </row>
    <row r="210">
      <c r="A210" s="7" t="s">
        <v>883</v>
      </c>
      <c r="B210" s="8">
        <v>35.0</v>
      </c>
      <c r="C210" s="7" t="s">
        <v>28</v>
      </c>
      <c r="D210" s="8">
        <v>2.0</v>
      </c>
      <c r="E210" s="35">
        <v>46229.0</v>
      </c>
      <c r="F210" s="8" t="s">
        <v>23</v>
      </c>
      <c r="G210" s="8">
        <v>97.6</v>
      </c>
      <c r="H210" s="8">
        <v>10.03</v>
      </c>
      <c r="I210" s="8">
        <v>8.18</v>
      </c>
      <c r="J210" s="13"/>
    </row>
    <row r="211">
      <c r="A211" s="7" t="s">
        <v>885</v>
      </c>
      <c r="B211" s="8">
        <v>35.0</v>
      </c>
      <c r="C211" s="7" t="s">
        <v>19</v>
      </c>
      <c r="D211" s="8">
        <v>2.0</v>
      </c>
      <c r="E211" s="35">
        <v>46229.0</v>
      </c>
      <c r="F211" s="8" t="s">
        <v>23</v>
      </c>
      <c r="G211" s="8">
        <v>97.6</v>
      </c>
      <c r="H211" s="8">
        <v>10.03</v>
      </c>
      <c r="I211" s="8">
        <v>7.92</v>
      </c>
      <c r="J211" s="13"/>
    </row>
    <row r="212">
      <c r="A212" s="7" t="s">
        <v>888</v>
      </c>
      <c r="B212" s="8">
        <v>35.0</v>
      </c>
      <c r="C212" s="7" t="s">
        <v>19</v>
      </c>
      <c r="D212" s="8">
        <v>3.0</v>
      </c>
      <c r="E212" s="39"/>
      <c r="F212" s="39"/>
      <c r="G212" s="39"/>
      <c r="H212" s="39"/>
      <c r="I212" s="39"/>
      <c r="J212" s="13"/>
    </row>
    <row r="213">
      <c r="A213" s="7" t="s">
        <v>890</v>
      </c>
      <c r="B213" s="8">
        <v>35.0</v>
      </c>
      <c r="C213" s="7" t="s">
        <v>36</v>
      </c>
      <c r="D213" s="8">
        <v>1.0</v>
      </c>
      <c r="E213" s="35">
        <v>46229.0</v>
      </c>
      <c r="F213" s="8" t="s">
        <v>23</v>
      </c>
      <c r="G213" s="8">
        <v>97.6</v>
      </c>
      <c r="H213" s="8">
        <v>10.03</v>
      </c>
      <c r="I213" s="8">
        <v>7.91</v>
      </c>
      <c r="J213" s="13"/>
    </row>
    <row r="214">
      <c r="A214" s="7" t="s">
        <v>894</v>
      </c>
      <c r="B214" s="8">
        <v>35.0</v>
      </c>
      <c r="C214" s="7" t="s">
        <v>36</v>
      </c>
      <c r="D214" s="8">
        <v>3.0</v>
      </c>
      <c r="E214" s="39"/>
      <c r="F214" s="39"/>
      <c r="G214" s="39"/>
      <c r="H214" s="39"/>
      <c r="I214" s="39"/>
      <c r="J214" s="13"/>
    </row>
    <row r="215">
      <c r="A215" s="15" t="s">
        <v>896</v>
      </c>
      <c r="B215" s="17">
        <v>36.0</v>
      </c>
      <c r="C215" s="15" t="s">
        <v>28</v>
      </c>
      <c r="D215" s="17">
        <v>1.0</v>
      </c>
      <c r="E215" s="35">
        <v>46229.0</v>
      </c>
      <c r="F215" s="8" t="s">
        <v>23</v>
      </c>
      <c r="G215" s="8">
        <v>97.6</v>
      </c>
      <c r="H215" s="8">
        <v>10.03</v>
      </c>
      <c r="I215" s="17">
        <v>8.05</v>
      </c>
      <c r="J215" s="24"/>
    </row>
    <row r="216">
      <c r="A216" s="15" t="s">
        <v>900</v>
      </c>
      <c r="B216" s="17">
        <v>36.0</v>
      </c>
      <c r="C216" s="15" t="s">
        <v>28</v>
      </c>
      <c r="D216" s="17">
        <v>2.0</v>
      </c>
      <c r="E216" s="41"/>
      <c r="F216" s="41"/>
      <c r="G216" s="41"/>
      <c r="H216" s="41"/>
      <c r="I216" s="41"/>
      <c r="J216" s="24"/>
    </row>
    <row r="217">
      <c r="A217" s="15" t="s">
        <v>911</v>
      </c>
      <c r="B217" s="17">
        <v>36.0</v>
      </c>
      <c r="C217" s="15" t="s">
        <v>28</v>
      </c>
      <c r="D217" s="17">
        <v>3.0</v>
      </c>
      <c r="E217" s="41"/>
      <c r="F217" s="41"/>
      <c r="G217" s="41"/>
      <c r="H217" s="41"/>
      <c r="I217" s="41"/>
      <c r="J217" s="24"/>
    </row>
    <row r="218">
      <c r="A218" s="15" t="s">
        <v>915</v>
      </c>
      <c r="B218" s="17">
        <v>36.0</v>
      </c>
      <c r="C218" s="15" t="s">
        <v>19</v>
      </c>
      <c r="D218" s="17">
        <v>2.0</v>
      </c>
      <c r="E218" s="35">
        <v>46229.0</v>
      </c>
      <c r="F218" s="8" t="s">
        <v>23</v>
      </c>
      <c r="G218" s="8">
        <v>97.6</v>
      </c>
      <c r="H218" s="8">
        <v>10.03</v>
      </c>
      <c r="I218" s="17">
        <v>8.0</v>
      </c>
      <c r="J218" s="24"/>
    </row>
    <row r="219">
      <c r="A219" s="15" t="s">
        <v>919</v>
      </c>
      <c r="B219" s="17">
        <v>36.0</v>
      </c>
      <c r="C219" s="15" t="s">
        <v>19</v>
      </c>
      <c r="D219" s="17">
        <v>3.0</v>
      </c>
      <c r="E219" s="41"/>
      <c r="F219" s="41"/>
      <c r="G219" s="41"/>
      <c r="H219" s="41"/>
      <c r="I219" s="41"/>
      <c r="J219" s="24"/>
    </row>
    <row r="220">
      <c r="A220" s="7" t="s">
        <v>921</v>
      </c>
      <c r="B220" s="8">
        <v>37.0</v>
      </c>
      <c r="C220" s="7" t="s">
        <v>28</v>
      </c>
      <c r="D220" s="8">
        <v>1.0</v>
      </c>
      <c r="E220" s="35">
        <v>46229.0</v>
      </c>
      <c r="F220" s="8" t="s">
        <v>23</v>
      </c>
      <c r="G220" s="8">
        <v>97.6</v>
      </c>
      <c r="H220" s="8">
        <v>10.03</v>
      </c>
      <c r="I220" s="8">
        <v>8.24</v>
      </c>
      <c r="J220" s="13"/>
    </row>
    <row r="221">
      <c r="A221" s="7" t="s">
        <v>925</v>
      </c>
      <c r="B221" s="8">
        <v>37.0</v>
      </c>
      <c r="C221" s="7" t="s">
        <v>28</v>
      </c>
      <c r="D221" s="8">
        <v>2.0</v>
      </c>
      <c r="E221" s="39"/>
      <c r="F221" s="39"/>
      <c r="G221" s="39"/>
      <c r="H221" s="39"/>
      <c r="I221" s="39"/>
      <c r="J221" s="13"/>
    </row>
    <row r="222">
      <c r="A222" s="7" t="s">
        <v>928</v>
      </c>
      <c r="B222" s="8">
        <v>37.0</v>
      </c>
      <c r="C222" s="7" t="s">
        <v>19</v>
      </c>
      <c r="D222" s="8">
        <v>2.0</v>
      </c>
      <c r="E222" s="35">
        <v>46229.0</v>
      </c>
      <c r="F222" s="8" t="s">
        <v>23</v>
      </c>
      <c r="G222" s="8">
        <v>97.6</v>
      </c>
      <c r="H222" s="8">
        <v>10.03</v>
      </c>
      <c r="I222" s="8">
        <v>8.22</v>
      </c>
      <c r="J222" s="13"/>
    </row>
    <row r="223">
      <c r="A223" s="7" t="s">
        <v>932</v>
      </c>
      <c r="B223" s="8">
        <v>37.0</v>
      </c>
      <c r="C223" s="7" t="s">
        <v>19</v>
      </c>
      <c r="D223" s="8">
        <v>3.0</v>
      </c>
      <c r="E223" s="39"/>
      <c r="F223" s="39"/>
      <c r="G223" s="39"/>
      <c r="H223" s="39"/>
      <c r="I223" s="39"/>
      <c r="J223" s="13"/>
    </row>
    <row r="224">
      <c r="A224" s="7" t="s">
        <v>935</v>
      </c>
      <c r="B224" s="8">
        <v>37.0</v>
      </c>
      <c r="C224" s="7" t="s">
        <v>36</v>
      </c>
      <c r="D224" s="8">
        <v>2.0</v>
      </c>
      <c r="E224" s="35">
        <v>46229.0</v>
      </c>
      <c r="F224" s="8" t="s">
        <v>23</v>
      </c>
      <c r="G224" s="8">
        <v>97.6</v>
      </c>
      <c r="H224" s="8">
        <v>10.03</v>
      </c>
      <c r="I224" s="8">
        <v>8.19</v>
      </c>
      <c r="J224" s="13"/>
    </row>
    <row r="225">
      <c r="A225" s="7" t="s">
        <v>939</v>
      </c>
      <c r="B225" s="8">
        <v>37.0</v>
      </c>
      <c r="C225" s="7" t="s">
        <v>36</v>
      </c>
      <c r="D225" s="8">
        <v>3.0</v>
      </c>
      <c r="E225" s="39"/>
      <c r="F225" s="39"/>
      <c r="G225" s="39"/>
      <c r="H225" s="39"/>
      <c r="I225" s="39"/>
      <c r="J225" s="13"/>
    </row>
    <row r="226">
      <c r="A226" s="15" t="s">
        <v>943</v>
      </c>
      <c r="B226" s="17">
        <v>38.0</v>
      </c>
      <c r="C226" s="15" t="s">
        <v>28</v>
      </c>
      <c r="D226" s="17">
        <v>2.0</v>
      </c>
      <c r="E226" s="41"/>
      <c r="F226" s="41"/>
      <c r="G226" s="41"/>
      <c r="H226" s="41"/>
      <c r="I226" s="41"/>
      <c r="J226" s="24"/>
    </row>
    <row r="227">
      <c r="A227" s="15" t="s">
        <v>945</v>
      </c>
      <c r="B227" s="17">
        <v>38.0</v>
      </c>
      <c r="C227" s="15" t="s">
        <v>28</v>
      </c>
      <c r="D227" s="17">
        <v>3.0</v>
      </c>
      <c r="E227" s="35">
        <v>46229.0</v>
      </c>
      <c r="F227" s="8" t="s">
        <v>23</v>
      </c>
      <c r="G227" s="8">
        <v>97.6</v>
      </c>
      <c r="H227" s="8">
        <v>10.03</v>
      </c>
      <c r="I227" s="17">
        <v>7.96</v>
      </c>
      <c r="J227" s="24"/>
    </row>
    <row r="228">
      <c r="A228" s="15" t="s">
        <v>948</v>
      </c>
      <c r="B228" s="17">
        <v>38.0</v>
      </c>
      <c r="C228" s="15" t="s">
        <v>19</v>
      </c>
      <c r="D228" s="17">
        <v>2.0</v>
      </c>
      <c r="E228" s="41"/>
      <c r="F228" s="41"/>
      <c r="G228" s="41"/>
      <c r="H228" s="41"/>
      <c r="I228" s="41"/>
      <c r="J228" s="24"/>
    </row>
    <row r="229">
      <c r="A229" s="15" t="s">
        <v>951</v>
      </c>
      <c r="B229" s="17">
        <v>38.0</v>
      </c>
      <c r="C229" s="15" t="s">
        <v>19</v>
      </c>
      <c r="D229" s="17">
        <v>3.0</v>
      </c>
      <c r="E229" s="35">
        <v>46229.0</v>
      </c>
      <c r="F229" s="8" t="s">
        <v>23</v>
      </c>
      <c r="G229" s="8">
        <v>97.6</v>
      </c>
      <c r="H229" s="8">
        <v>10.03</v>
      </c>
      <c r="I229" s="17">
        <v>7.94</v>
      </c>
      <c r="J229" s="24"/>
    </row>
    <row r="230">
      <c r="A230" s="15" t="s">
        <v>954</v>
      </c>
      <c r="B230" s="17">
        <v>38.0</v>
      </c>
      <c r="C230" s="15" t="s">
        <v>36</v>
      </c>
      <c r="D230" s="17">
        <v>2.0</v>
      </c>
      <c r="E230" s="35">
        <v>46229.0</v>
      </c>
      <c r="F230" s="8" t="s">
        <v>23</v>
      </c>
      <c r="G230" s="8">
        <v>97.6</v>
      </c>
      <c r="H230" s="8">
        <v>10.03</v>
      </c>
      <c r="I230" s="17">
        <v>8.03</v>
      </c>
      <c r="J230" s="24"/>
    </row>
    <row r="231">
      <c r="A231" s="15" t="s">
        <v>957</v>
      </c>
      <c r="B231" s="17">
        <v>38.0</v>
      </c>
      <c r="C231" s="15" t="s">
        <v>36</v>
      </c>
      <c r="D231" s="17">
        <v>3.0</v>
      </c>
      <c r="E231" s="41"/>
      <c r="F231" s="41"/>
      <c r="G231" s="41"/>
      <c r="H231" s="41"/>
      <c r="I231" s="41"/>
      <c r="J231" s="24"/>
    </row>
    <row r="232">
      <c r="A232" s="7" t="s">
        <v>960</v>
      </c>
      <c r="B232" s="8">
        <v>39.0</v>
      </c>
      <c r="C232" s="7" t="s">
        <v>28</v>
      </c>
      <c r="D232" s="8">
        <v>3.0</v>
      </c>
      <c r="E232" s="35">
        <v>46229.0</v>
      </c>
      <c r="F232" s="8" t="s">
        <v>23</v>
      </c>
      <c r="G232" s="8">
        <v>97.6</v>
      </c>
      <c r="H232" s="8">
        <v>10.03</v>
      </c>
      <c r="I232" s="8">
        <v>7.92</v>
      </c>
      <c r="J232" s="13"/>
    </row>
    <row r="233">
      <c r="A233" s="7" t="s">
        <v>962</v>
      </c>
      <c r="B233" s="8">
        <v>39.0</v>
      </c>
      <c r="C233" s="7" t="s">
        <v>19</v>
      </c>
      <c r="D233" s="8">
        <v>2.0</v>
      </c>
      <c r="E233" s="39"/>
      <c r="F233" s="39"/>
      <c r="G233" s="39"/>
      <c r="H233" s="39"/>
      <c r="I233" s="39"/>
      <c r="J233" s="13"/>
    </row>
    <row r="234">
      <c r="A234" s="7" t="s">
        <v>965</v>
      </c>
      <c r="B234" s="8">
        <v>39.0</v>
      </c>
      <c r="C234" s="7" t="s">
        <v>19</v>
      </c>
      <c r="D234" s="8">
        <v>3.0</v>
      </c>
      <c r="E234" s="35">
        <v>46229.0</v>
      </c>
      <c r="F234" s="8" t="s">
        <v>23</v>
      </c>
      <c r="G234" s="8">
        <v>97.6</v>
      </c>
      <c r="H234" s="8">
        <v>10.03</v>
      </c>
      <c r="I234" s="8">
        <v>8.04</v>
      </c>
      <c r="J234" s="13"/>
    </row>
    <row r="235">
      <c r="A235" s="7" t="s">
        <v>967</v>
      </c>
      <c r="B235" s="8">
        <v>39.0</v>
      </c>
      <c r="C235" s="7" t="s">
        <v>36</v>
      </c>
      <c r="D235" s="8">
        <v>1.0</v>
      </c>
      <c r="E235" s="39"/>
      <c r="F235" s="39"/>
      <c r="G235" s="39"/>
      <c r="H235" s="39"/>
      <c r="I235" s="39"/>
      <c r="J235" s="13"/>
    </row>
    <row r="236">
      <c r="A236" s="7" t="s">
        <v>970</v>
      </c>
      <c r="B236" s="8">
        <v>39.0</v>
      </c>
      <c r="C236" s="7" t="s">
        <v>36</v>
      </c>
      <c r="D236" s="8">
        <v>2.0</v>
      </c>
      <c r="E236" s="39"/>
      <c r="F236" s="39"/>
      <c r="G236" s="39"/>
      <c r="H236" s="39"/>
      <c r="I236" s="39"/>
      <c r="J236" s="13"/>
    </row>
    <row r="237">
      <c r="A237" s="7" t="s">
        <v>973</v>
      </c>
      <c r="B237" s="8">
        <v>39.0</v>
      </c>
      <c r="C237" s="7" t="s">
        <v>36</v>
      </c>
      <c r="D237" s="8">
        <v>3.0</v>
      </c>
      <c r="E237" s="35">
        <v>46229.0</v>
      </c>
      <c r="F237" s="8" t="s">
        <v>23</v>
      </c>
      <c r="G237" s="8">
        <v>97.6</v>
      </c>
      <c r="H237" s="8">
        <v>10.03</v>
      </c>
      <c r="I237" s="8">
        <v>8.05</v>
      </c>
      <c r="J237" s="13"/>
    </row>
    <row r="238">
      <c r="A238" s="15" t="s">
        <v>976</v>
      </c>
      <c r="B238" s="17">
        <v>40.0</v>
      </c>
      <c r="C238" s="15" t="s">
        <v>19</v>
      </c>
      <c r="D238" s="17">
        <v>1.0</v>
      </c>
      <c r="E238" s="35">
        <v>46229.0</v>
      </c>
      <c r="F238" s="8" t="s">
        <v>23</v>
      </c>
      <c r="G238" s="8">
        <v>97.6</v>
      </c>
      <c r="H238" s="8">
        <v>10.03</v>
      </c>
      <c r="I238" s="17">
        <v>7.96</v>
      </c>
      <c r="J238" s="24"/>
    </row>
    <row r="239">
      <c r="A239" s="15" t="s">
        <v>978</v>
      </c>
      <c r="B239" s="17">
        <v>40.0</v>
      </c>
      <c r="C239" s="15" t="s">
        <v>19</v>
      </c>
      <c r="D239" s="17">
        <v>2.0</v>
      </c>
      <c r="E239" s="41"/>
      <c r="F239" s="41"/>
      <c r="G239" s="41"/>
      <c r="H239" s="41"/>
      <c r="I239" s="41"/>
      <c r="J239" s="24"/>
    </row>
    <row r="240">
      <c r="A240" s="15" t="s">
        <v>981</v>
      </c>
      <c r="B240" s="17">
        <v>40.0</v>
      </c>
      <c r="C240" s="15" t="s">
        <v>36</v>
      </c>
      <c r="D240" s="17">
        <v>2.0</v>
      </c>
      <c r="E240" s="41"/>
      <c r="F240" s="41"/>
      <c r="G240" s="41"/>
      <c r="H240" s="41"/>
      <c r="I240" s="41"/>
      <c r="J240" s="24"/>
    </row>
    <row r="241">
      <c r="A241" s="15" t="s">
        <v>983</v>
      </c>
      <c r="B241" s="17">
        <v>40.0</v>
      </c>
      <c r="C241" s="15" t="s">
        <v>36</v>
      </c>
      <c r="D241" s="17">
        <v>3.0</v>
      </c>
      <c r="E241" s="35">
        <v>46229.0</v>
      </c>
      <c r="F241" s="8" t="s">
        <v>23</v>
      </c>
      <c r="G241" s="8">
        <v>97.6</v>
      </c>
      <c r="H241" s="8">
        <v>10.03</v>
      </c>
      <c r="I241" s="17">
        <v>8.06</v>
      </c>
      <c r="J241" s="24"/>
    </row>
    <row r="242">
      <c r="A242" s="7" t="s">
        <v>989</v>
      </c>
      <c r="B242" s="8">
        <v>41.0</v>
      </c>
      <c r="C242" s="7" t="s">
        <v>19</v>
      </c>
      <c r="D242" s="8">
        <v>1.0</v>
      </c>
      <c r="E242" s="35">
        <v>46229.0</v>
      </c>
      <c r="F242" s="8" t="s">
        <v>23</v>
      </c>
      <c r="G242" s="8">
        <v>97.6</v>
      </c>
      <c r="H242" s="8">
        <v>10.03</v>
      </c>
      <c r="I242" s="8">
        <v>8.07</v>
      </c>
      <c r="J242" s="13"/>
    </row>
    <row r="243">
      <c r="A243" s="7" t="s">
        <v>994</v>
      </c>
      <c r="B243" s="8">
        <v>41.0</v>
      </c>
      <c r="C243" s="7" t="s">
        <v>36</v>
      </c>
      <c r="D243" s="8">
        <v>2.0</v>
      </c>
      <c r="E243" s="35">
        <v>46229.0</v>
      </c>
      <c r="F243" s="8" t="s">
        <v>23</v>
      </c>
      <c r="G243" s="8">
        <v>97.6</v>
      </c>
      <c r="H243" s="8">
        <v>10.03</v>
      </c>
      <c r="I243" s="8">
        <v>7.98</v>
      </c>
      <c r="J243" s="13"/>
    </row>
    <row r="244">
      <c r="A244" s="15" t="s">
        <v>998</v>
      </c>
      <c r="B244" s="17">
        <v>42.0</v>
      </c>
      <c r="C244" s="15" t="s">
        <v>28</v>
      </c>
      <c r="D244" s="17">
        <v>1.0</v>
      </c>
      <c r="E244" s="35">
        <v>46229.0</v>
      </c>
      <c r="F244" s="8" t="s">
        <v>23</v>
      </c>
      <c r="G244" s="8">
        <v>97.6</v>
      </c>
      <c r="H244" s="8">
        <v>10.03</v>
      </c>
      <c r="I244" s="17">
        <v>8.01</v>
      </c>
      <c r="J244" s="24"/>
    </row>
    <row r="245">
      <c r="A245" s="15" t="s">
        <v>1001</v>
      </c>
      <c r="B245" s="17">
        <v>42.0</v>
      </c>
      <c r="C245" s="15" t="s">
        <v>28</v>
      </c>
      <c r="D245" s="17">
        <v>2.0</v>
      </c>
      <c r="E245" s="41"/>
      <c r="F245" s="41"/>
      <c r="G245" s="41"/>
      <c r="H245" s="41"/>
      <c r="I245" s="41"/>
      <c r="J245" s="24"/>
    </row>
    <row r="246">
      <c r="A246" s="15" t="s">
        <v>1003</v>
      </c>
      <c r="B246" s="17">
        <v>42.0</v>
      </c>
      <c r="C246" s="15" t="s">
        <v>28</v>
      </c>
      <c r="D246" s="17">
        <v>3.0</v>
      </c>
      <c r="E246" s="41"/>
      <c r="F246" s="41"/>
      <c r="G246" s="41"/>
      <c r="H246" s="41"/>
      <c r="I246" s="41"/>
      <c r="J246" s="24"/>
    </row>
    <row r="247">
      <c r="A247" s="15" t="s">
        <v>1007</v>
      </c>
      <c r="B247" s="17">
        <v>42.0</v>
      </c>
      <c r="C247" s="15" t="s">
        <v>19</v>
      </c>
      <c r="D247" s="17">
        <v>1.0</v>
      </c>
      <c r="E247" s="35">
        <v>46229.0</v>
      </c>
      <c r="F247" s="8" t="s">
        <v>23</v>
      </c>
      <c r="G247" s="8">
        <v>97.6</v>
      </c>
      <c r="H247" s="8">
        <v>10.03</v>
      </c>
      <c r="I247" s="17">
        <v>7.99</v>
      </c>
      <c r="J247" s="24"/>
    </row>
    <row r="248">
      <c r="A248" s="15" t="s">
        <v>1009</v>
      </c>
      <c r="B248" s="17">
        <v>42.0</v>
      </c>
      <c r="C248" s="15" t="s">
        <v>36</v>
      </c>
      <c r="D248" s="17">
        <v>1.0</v>
      </c>
      <c r="E248" s="41"/>
      <c r="F248" s="41"/>
      <c r="G248" s="41"/>
      <c r="H248" s="41"/>
      <c r="I248" s="41"/>
      <c r="J248" s="24"/>
    </row>
    <row r="249">
      <c r="A249" s="15" t="s">
        <v>1013</v>
      </c>
      <c r="B249" s="17">
        <v>42.0</v>
      </c>
      <c r="C249" s="15" t="s">
        <v>36</v>
      </c>
      <c r="D249" s="17">
        <v>2.0</v>
      </c>
      <c r="E249" s="35">
        <v>46229.0</v>
      </c>
      <c r="F249" s="8" t="s">
        <v>23</v>
      </c>
      <c r="G249" s="8">
        <v>97.6</v>
      </c>
      <c r="H249" s="8">
        <v>10.03</v>
      </c>
      <c r="I249" s="17">
        <v>8.02</v>
      </c>
      <c r="J249" s="24"/>
    </row>
    <row r="250">
      <c r="A250" s="7" t="s">
        <v>1018</v>
      </c>
      <c r="B250" s="8">
        <v>43.0</v>
      </c>
      <c r="C250" s="7" t="s">
        <v>28</v>
      </c>
      <c r="D250" s="8">
        <v>1.0</v>
      </c>
      <c r="E250" s="39"/>
      <c r="F250" s="39"/>
      <c r="G250" s="39"/>
      <c r="H250" s="39"/>
      <c r="I250" s="39"/>
      <c r="J250" s="13"/>
    </row>
    <row r="251">
      <c r="A251" s="7" t="s">
        <v>1024</v>
      </c>
      <c r="B251" s="8">
        <v>43.0</v>
      </c>
      <c r="C251" s="7" t="s">
        <v>28</v>
      </c>
      <c r="D251" s="8">
        <v>2.0</v>
      </c>
      <c r="E251" s="35">
        <v>46224.0</v>
      </c>
      <c r="F251" s="8" t="s">
        <v>23</v>
      </c>
      <c r="G251" s="8">
        <v>97.4</v>
      </c>
      <c r="H251" s="8">
        <v>10.06</v>
      </c>
      <c r="I251" s="8">
        <v>8.09</v>
      </c>
      <c r="J251" s="13"/>
    </row>
    <row r="252">
      <c r="A252" s="7" t="s">
        <v>1027</v>
      </c>
      <c r="B252" s="8">
        <v>43.0</v>
      </c>
      <c r="C252" s="7" t="s">
        <v>19</v>
      </c>
      <c r="D252" s="8">
        <v>1.0</v>
      </c>
      <c r="E252" s="35">
        <v>46224.0</v>
      </c>
      <c r="F252" s="8" t="s">
        <v>23</v>
      </c>
      <c r="G252" s="8">
        <v>97.4</v>
      </c>
      <c r="H252" s="8">
        <v>10.06</v>
      </c>
      <c r="I252" s="8">
        <v>8.1</v>
      </c>
      <c r="J252" s="13"/>
    </row>
    <row r="253">
      <c r="A253" s="7" t="s">
        <v>1030</v>
      </c>
      <c r="B253" s="8">
        <v>43.0</v>
      </c>
      <c r="C253" s="7" t="s">
        <v>19</v>
      </c>
      <c r="D253" s="8">
        <v>2.0</v>
      </c>
      <c r="E253" s="35">
        <v>46224.0</v>
      </c>
      <c r="F253" s="8" t="s">
        <v>23</v>
      </c>
      <c r="G253" s="8">
        <v>97.4</v>
      </c>
      <c r="H253" s="8">
        <v>10.06</v>
      </c>
      <c r="I253" s="8">
        <v>8.01</v>
      </c>
      <c r="J253" s="13"/>
    </row>
    <row r="254">
      <c r="A254" s="7" t="s">
        <v>1034</v>
      </c>
      <c r="B254" s="8">
        <v>43.0</v>
      </c>
      <c r="C254" s="7" t="s">
        <v>36</v>
      </c>
      <c r="D254" s="8">
        <v>2.0</v>
      </c>
      <c r="E254" s="35">
        <v>46224.0</v>
      </c>
      <c r="F254" s="8" t="s">
        <v>23</v>
      </c>
      <c r="G254" s="8">
        <v>97.4</v>
      </c>
      <c r="H254" s="8">
        <v>10.06</v>
      </c>
      <c r="I254" s="8">
        <v>8.0</v>
      </c>
      <c r="J254" s="13"/>
    </row>
    <row r="255">
      <c r="A255" s="15" t="s">
        <v>1036</v>
      </c>
      <c r="B255" s="17">
        <v>44.0</v>
      </c>
      <c r="C255" s="15" t="s">
        <v>19</v>
      </c>
      <c r="D255" s="17">
        <v>2.0</v>
      </c>
      <c r="E255" s="35">
        <v>46229.0</v>
      </c>
      <c r="F255" s="8" t="s">
        <v>23</v>
      </c>
      <c r="G255" s="8">
        <v>97.6</v>
      </c>
      <c r="H255" s="8">
        <v>10.03</v>
      </c>
      <c r="I255" s="17">
        <v>7.99</v>
      </c>
      <c r="J255" s="24"/>
    </row>
    <row r="256">
      <c r="A256" s="15" t="s">
        <v>1039</v>
      </c>
      <c r="B256" s="17">
        <v>44.0</v>
      </c>
      <c r="C256" s="15" t="s">
        <v>36</v>
      </c>
      <c r="D256" s="17">
        <v>2.0</v>
      </c>
      <c r="E256" s="35">
        <v>46229.0</v>
      </c>
      <c r="F256" s="8" t="s">
        <v>23</v>
      </c>
      <c r="G256" s="8">
        <v>97.6</v>
      </c>
      <c r="H256" s="8">
        <v>10.06</v>
      </c>
      <c r="I256" s="17">
        <v>8.0</v>
      </c>
      <c r="J256" s="24"/>
    </row>
    <row r="257">
      <c r="A257" s="15" t="s">
        <v>1041</v>
      </c>
      <c r="B257" s="17">
        <v>44.0</v>
      </c>
      <c r="C257" s="15" t="s">
        <v>36</v>
      </c>
      <c r="D257" s="17">
        <v>3.0</v>
      </c>
      <c r="E257" s="41"/>
      <c r="F257" s="41"/>
      <c r="G257" s="41"/>
      <c r="H257" s="41"/>
      <c r="I257" s="41"/>
      <c r="J257" s="24"/>
    </row>
    <row r="258">
      <c r="A258" s="7" t="s">
        <v>1044</v>
      </c>
      <c r="B258" s="8">
        <v>45.0</v>
      </c>
      <c r="C258" s="7" t="s">
        <v>28</v>
      </c>
      <c r="D258" s="8">
        <v>1.0</v>
      </c>
      <c r="E258" s="35">
        <v>46224.0</v>
      </c>
      <c r="F258" s="8" t="s">
        <v>23</v>
      </c>
      <c r="G258" s="8">
        <v>97.4</v>
      </c>
      <c r="H258" s="8">
        <v>10.06</v>
      </c>
      <c r="I258" s="8">
        <v>8.15</v>
      </c>
      <c r="J258" s="13"/>
    </row>
    <row r="259">
      <c r="A259" s="7" t="s">
        <v>1046</v>
      </c>
      <c r="B259" s="8">
        <v>45.0</v>
      </c>
      <c r="C259" s="7" t="s">
        <v>19</v>
      </c>
      <c r="D259" s="8">
        <v>1.0</v>
      </c>
      <c r="E259" s="35">
        <v>46224.0</v>
      </c>
      <c r="F259" s="8" t="s">
        <v>23</v>
      </c>
      <c r="G259" s="8">
        <v>97.4</v>
      </c>
      <c r="H259" s="8">
        <v>10.06</v>
      </c>
      <c r="I259" s="8">
        <v>8.23</v>
      </c>
      <c r="J259" s="13"/>
    </row>
    <row r="260">
      <c r="A260" s="7" t="s">
        <v>1049</v>
      </c>
      <c r="B260" s="8">
        <v>45.0</v>
      </c>
      <c r="C260" s="7" t="s">
        <v>19</v>
      </c>
      <c r="D260" s="8">
        <v>3.0</v>
      </c>
      <c r="E260" s="39"/>
      <c r="F260" s="39"/>
      <c r="G260" s="39"/>
      <c r="H260" s="39"/>
      <c r="I260" s="39"/>
      <c r="J260" s="13"/>
    </row>
    <row r="261">
      <c r="A261" s="7" t="s">
        <v>1053</v>
      </c>
      <c r="B261" s="8">
        <v>45.0</v>
      </c>
      <c r="C261" s="7" t="s">
        <v>36</v>
      </c>
      <c r="D261" s="8">
        <v>2.0</v>
      </c>
      <c r="E261" s="35">
        <v>46224.0</v>
      </c>
      <c r="F261" s="8" t="s">
        <v>23</v>
      </c>
      <c r="G261" s="8">
        <v>97.4</v>
      </c>
      <c r="H261" s="8">
        <v>10.06</v>
      </c>
      <c r="I261" s="8">
        <v>8.06</v>
      </c>
      <c r="J261" s="13"/>
    </row>
    <row r="262">
      <c r="A262" s="15" t="s">
        <v>1056</v>
      </c>
      <c r="B262" s="17">
        <v>46.0</v>
      </c>
      <c r="C262" s="15" t="s">
        <v>28</v>
      </c>
      <c r="D262" s="17">
        <v>3.0</v>
      </c>
      <c r="E262" s="35">
        <v>46229.0</v>
      </c>
      <c r="F262" s="8" t="s">
        <v>23</v>
      </c>
      <c r="G262" s="8">
        <v>97.6</v>
      </c>
      <c r="H262" s="8">
        <v>10.06</v>
      </c>
      <c r="I262" s="17">
        <v>8.16</v>
      </c>
      <c r="J262" s="24"/>
    </row>
    <row r="263">
      <c r="A263" s="15" t="s">
        <v>1058</v>
      </c>
      <c r="B263" s="17">
        <v>46.0</v>
      </c>
      <c r="C263" s="15" t="s">
        <v>19</v>
      </c>
      <c r="D263" s="17">
        <v>1.0</v>
      </c>
      <c r="E263" s="35">
        <v>46229.0</v>
      </c>
      <c r="F263" s="8" t="s">
        <v>23</v>
      </c>
      <c r="G263" s="8">
        <v>97.6</v>
      </c>
      <c r="H263" s="8">
        <v>10.06</v>
      </c>
      <c r="I263" s="17">
        <v>8.2</v>
      </c>
      <c r="J263" s="24"/>
    </row>
    <row r="264">
      <c r="A264" s="15" t="s">
        <v>1062</v>
      </c>
      <c r="B264" s="17">
        <v>46.0</v>
      </c>
      <c r="C264" s="15" t="s">
        <v>36</v>
      </c>
      <c r="D264" s="17">
        <v>1.0</v>
      </c>
      <c r="E264" s="35">
        <v>46229.0</v>
      </c>
      <c r="F264" s="8" t="s">
        <v>23</v>
      </c>
      <c r="G264" s="8">
        <v>97.6</v>
      </c>
      <c r="H264" s="8">
        <v>10.06</v>
      </c>
      <c r="I264" s="17">
        <v>8.18</v>
      </c>
      <c r="J264" s="24"/>
    </row>
    <row r="265">
      <c r="A265" s="7" t="s">
        <v>1065</v>
      </c>
      <c r="B265" s="8">
        <v>47.0</v>
      </c>
      <c r="C265" s="7" t="s">
        <v>28</v>
      </c>
      <c r="D265" s="8">
        <v>1.0</v>
      </c>
      <c r="E265" s="35">
        <v>46229.0</v>
      </c>
      <c r="F265" s="8" t="s">
        <v>23</v>
      </c>
      <c r="G265" s="8">
        <v>97.6</v>
      </c>
      <c r="H265" s="8">
        <v>10.06</v>
      </c>
      <c r="I265" s="8">
        <v>8.14</v>
      </c>
      <c r="J265" s="13"/>
    </row>
    <row r="266">
      <c r="A266" s="7" t="s">
        <v>1068</v>
      </c>
      <c r="B266" s="8">
        <v>47.0</v>
      </c>
      <c r="C266" s="7" t="s">
        <v>19</v>
      </c>
      <c r="D266" s="8">
        <v>2.0</v>
      </c>
      <c r="E266" s="35">
        <v>46229.0</v>
      </c>
      <c r="F266" s="8" t="s">
        <v>23</v>
      </c>
      <c r="G266" s="8">
        <v>97.6</v>
      </c>
      <c r="H266" s="8">
        <v>10.06</v>
      </c>
      <c r="I266" s="8">
        <v>8.1</v>
      </c>
      <c r="J266" s="13"/>
    </row>
    <row r="267">
      <c r="A267" s="7" t="s">
        <v>1070</v>
      </c>
      <c r="B267" s="8">
        <v>47.0</v>
      </c>
      <c r="C267" s="7" t="s">
        <v>19</v>
      </c>
      <c r="D267" s="8">
        <v>3.0</v>
      </c>
      <c r="E267" s="39"/>
      <c r="F267" s="39"/>
      <c r="G267" s="39"/>
      <c r="H267" s="8">
        <v>10.06</v>
      </c>
      <c r="I267" s="39"/>
      <c r="J267" s="13"/>
    </row>
    <row r="268">
      <c r="A268" s="7" t="s">
        <v>1074</v>
      </c>
      <c r="B268" s="8">
        <v>47.0</v>
      </c>
      <c r="C268" s="7" t="s">
        <v>36</v>
      </c>
      <c r="D268" s="8">
        <v>1.0</v>
      </c>
      <c r="E268" s="35">
        <v>46229.0</v>
      </c>
      <c r="F268" s="8" t="s">
        <v>23</v>
      </c>
      <c r="G268" s="8">
        <v>97.6</v>
      </c>
      <c r="H268" s="8">
        <v>10.06</v>
      </c>
      <c r="I268" s="8">
        <v>8.08</v>
      </c>
      <c r="J268" s="13"/>
    </row>
    <row r="269">
      <c r="A269" s="15" t="s">
        <v>1077</v>
      </c>
      <c r="B269" s="17">
        <v>48.0</v>
      </c>
      <c r="C269" s="15" t="s">
        <v>28</v>
      </c>
      <c r="D269" s="17">
        <v>2.0</v>
      </c>
      <c r="E269" s="35">
        <v>46229.0</v>
      </c>
      <c r="F269" s="8" t="s">
        <v>23</v>
      </c>
      <c r="G269" s="8">
        <v>97.6</v>
      </c>
      <c r="H269" s="8">
        <v>10.06</v>
      </c>
      <c r="I269" s="17">
        <v>8.1</v>
      </c>
      <c r="J269" s="24"/>
    </row>
    <row r="270">
      <c r="A270" s="15" t="s">
        <v>1081</v>
      </c>
      <c r="B270" s="17">
        <v>48.0</v>
      </c>
      <c r="C270" s="15" t="s">
        <v>19</v>
      </c>
      <c r="D270" s="17">
        <v>2.0</v>
      </c>
      <c r="E270" s="35">
        <v>46229.0</v>
      </c>
      <c r="F270" s="8" t="s">
        <v>23</v>
      </c>
      <c r="G270" s="8">
        <v>97.6</v>
      </c>
      <c r="H270" s="8">
        <v>10.06</v>
      </c>
      <c r="I270" s="17">
        <v>8.0</v>
      </c>
      <c r="J270" s="24"/>
    </row>
    <row r="271">
      <c r="A271" s="15" t="s">
        <v>1089</v>
      </c>
      <c r="B271" s="17">
        <v>48.0</v>
      </c>
      <c r="C271" s="15" t="s">
        <v>36</v>
      </c>
      <c r="D271" s="17">
        <v>3.0</v>
      </c>
      <c r="E271" s="35">
        <v>46229.0</v>
      </c>
      <c r="F271" s="8" t="s">
        <v>23</v>
      </c>
      <c r="G271" s="8">
        <v>97.6</v>
      </c>
      <c r="H271" s="8">
        <v>10.06</v>
      </c>
      <c r="I271" s="17">
        <v>8.12</v>
      </c>
      <c r="J271" s="24"/>
    </row>
    <row r="272">
      <c r="A272" s="7" t="s">
        <v>1092</v>
      </c>
      <c r="B272" s="8">
        <v>49.0</v>
      </c>
      <c r="C272" s="7" t="s">
        <v>28</v>
      </c>
      <c r="D272" s="8">
        <v>2.0</v>
      </c>
      <c r="E272" s="39"/>
      <c r="F272" s="39"/>
      <c r="G272" s="39"/>
      <c r="H272" s="8">
        <v>10.06</v>
      </c>
      <c r="I272" s="39"/>
      <c r="J272" s="7" t="s">
        <v>73</v>
      </c>
    </row>
    <row r="273">
      <c r="A273" s="7" t="s">
        <v>1096</v>
      </c>
      <c r="B273" s="8">
        <v>49.0</v>
      </c>
      <c r="C273" s="7" t="s">
        <v>28</v>
      </c>
      <c r="D273" s="8">
        <v>3.0</v>
      </c>
      <c r="E273" s="39"/>
      <c r="F273" s="39"/>
      <c r="G273" s="39"/>
      <c r="H273" s="8">
        <v>10.06</v>
      </c>
      <c r="I273" s="39"/>
      <c r="J273" s="7" t="s">
        <v>73</v>
      </c>
    </row>
    <row r="274">
      <c r="A274" s="7" t="s">
        <v>1098</v>
      </c>
      <c r="B274" s="8">
        <v>49.0</v>
      </c>
      <c r="C274" s="7" t="s">
        <v>19</v>
      </c>
      <c r="D274" s="8">
        <v>2.0</v>
      </c>
      <c r="E274" s="35">
        <v>46229.0</v>
      </c>
      <c r="F274" s="8" t="s">
        <v>23</v>
      </c>
      <c r="G274" s="8">
        <v>97.6</v>
      </c>
      <c r="H274" s="8">
        <v>10.06</v>
      </c>
      <c r="I274" s="8">
        <v>8.29</v>
      </c>
      <c r="J274" s="13"/>
    </row>
    <row r="275">
      <c r="A275" s="7" t="s">
        <v>1101</v>
      </c>
      <c r="B275" s="8">
        <v>49.0</v>
      </c>
      <c r="C275" s="7" t="s">
        <v>36</v>
      </c>
      <c r="D275" s="8">
        <v>2.0</v>
      </c>
      <c r="E275" s="35">
        <v>46229.0</v>
      </c>
      <c r="F275" s="8" t="s">
        <v>23</v>
      </c>
      <c r="G275" s="8">
        <v>97.6</v>
      </c>
      <c r="H275" s="8">
        <v>10.06</v>
      </c>
      <c r="I275" s="8">
        <v>8.27</v>
      </c>
      <c r="J275" s="13"/>
    </row>
    <row r="276">
      <c r="A276" s="15" t="s">
        <v>1104</v>
      </c>
      <c r="B276" s="17">
        <v>50.0</v>
      </c>
      <c r="C276" s="15" t="s">
        <v>28</v>
      </c>
      <c r="D276" s="17">
        <v>1.0</v>
      </c>
      <c r="E276" s="41"/>
      <c r="F276" s="41"/>
      <c r="G276" s="41"/>
      <c r="H276" s="8">
        <v>10.06</v>
      </c>
      <c r="I276" s="41"/>
      <c r="J276" s="7"/>
    </row>
    <row r="277">
      <c r="A277" s="15" t="s">
        <v>1108</v>
      </c>
      <c r="B277" s="17">
        <v>50.0</v>
      </c>
      <c r="C277" s="15" t="s">
        <v>28</v>
      </c>
      <c r="D277" s="17">
        <v>2.0</v>
      </c>
      <c r="E277" s="41"/>
      <c r="F277" s="41"/>
      <c r="G277" s="41"/>
      <c r="H277" s="8">
        <v>10.06</v>
      </c>
      <c r="I277" s="41"/>
      <c r="J277" s="7"/>
    </row>
    <row r="278">
      <c r="A278" s="15" t="s">
        <v>1112</v>
      </c>
      <c r="B278" s="17">
        <v>50.0</v>
      </c>
      <c r="C278" s="15" t="s">
        <v>28</v>
      </c>
      <c r="D278" s="17">
        <v>3.0</v>
      </c>
      <c r="E278" s="35">
        <v>46229.0</v>
      </c>
      <c r="F278" s="8" t="s">
        <v>23</v>
      </c>
      <c r="G278" s="8">
        <v>97.6</v>
      </c>
      <c r="H278" s="8">
        <v>10.06</v>
      </c>
      <c r="I278" s="17">
        <v>8.21</v>
      </c>
      <c r="J278" s="7"/>
    </row>
    <row r="279">
      <c r="A279" s="15" t="s">
        <v>1114</v>
      </c>
      <c r="B279" s="17">
        <v>50.0</v>
      </c>
      <c r="C279" s="15" t="s">
        <v>19</v>
      </c>
      <c r="D279" s="17">
        <v>1.0</v>
      </c>
      <c r="E279" s="41"/>
      <c r="F279" s="41"/>
      <c r="G279" s="41"/>
      <c r="H279" s="8">
        <v>10.06</v>
      </c>
      <c r="I279" s="41"/>
      <c r="J279" s="24"/>
    </row>
    <row r="280">
      <c r="A280" s="15" t="s">
        <v>1117</v>
      </c>
      <c r="B280" s="17">
        <v>50.0</v>
      </c>
      <c r="C280" s="15" t="s">
        <v>19</v>
      </c>
      <c r="D280" s="17">
        <v>2.0</v>
      </c>
      <c r="E280" s="35">
        <v>46229.0</v>
      </c>
      <c r="F280" s="8" t="s">
        <v>23</v>
      </c>
      <c r="G280" s="8">
        <v>97.6</v>
      </c>
      <c r="H280" s="8">
        <v>10.06</v>
      </c>
      <c r="I280" s="17">
        <v>8.27</v>
      </c>
      <c r="J280" s="24"/>
    </row>
    <row r="281">
      <c r="A281" s="15" t="s">
        <v>1119</v>
      </c>
      <c r="B281" s="17">
        <v>50.0</v>
      </c>
      <c r="C281" s="15" t="s">
        <v>36</v>
      </c>
      <c r="D281" s="17">
        <v>1.0</v>
      </c>
      <c r="E281" s="41"/>
      <c r="F281" s="41"/>
      <c r="G281" s="41"/>
      <c r="H281" s="8">
        <v>10.06</v>
      </c>
      <c r="I281" s="41"/>
      <c r="J281" s="24"/>
    </row>
    <row r="282">
      <c r="A282" s="15" t="s">
        <v>1121</v>
      </c>
      <c r="B282" s="17">
        <v>50.0</v>
      </c>
      <c r="C282" s="15" t="s">
        <v>36</v>
      </c>
      <c r="D282" s="17">
        <v>2.0</v>
      </c>
      <c r="E282" s="35">
        <v>46229.0</v>
      </c>
      <c r="F282" s="8" t="s">
        <v>23</v>
      </c>
      <c r="G282" s="8">
        <v>97.6</v>
      </c>
      <c r="H282" s="8">
        <v>10.06</v>
      </c>
      <c r="I282" s="17">
        <v>8.09</v>
      </c>
      <c r="J282" s="24"/>
    </row>
    <row r="283">
      <c r="A283" s="7" t="s">
        <v>1124</v>
      </c>
      <c r="B283" s="8">
        <v>51.0</v>
      </c>
      <c r="C283" s="7" t="s">
        <v>28</v>
      </c>
      <c r="D283" s="8">
        <v>2.0</v>
      </c>
      <c r="E283" s="39"/>
      <c r="F283" s="39"/>
      <c r="G283" s="39"/>
      <c r="H283" s="8">
        <v>10.06</v>
      </c>
      <c r="I283" s="39"/>
      <c r="J283" s="13"/>
    </row>
    <row r="284">
      <c r="A284" s="7" t="s">
        <v>1126</v>
      </c>
      <c r="B284" s="8">
        <v>51.0</v>
      </c>
      <c r="C284" s="7" t="s">
        <v>19</v>
      </c>
      <c r="D284" s="8">
        <v>1.0</v>
      </c>
      <c r="E284" s="35">
        <v>46229.0</v>
      </c>
      <c r="F284" s="8" t="s">
        <v>23</v>
      </c>
      <c r="G284" s="8">
        <v>97.6</v>
      </c>
      <c r="H284" s="8">
        <v>10.06</v>
      </c>
      <c r="I284" s="8">
        <v>8.31</v>
      </c>
      <c r="J284" s="13"/>
    </row>
    <row r="285">
      <c r="A285" s="7" t="s">
        <v>1129</v>
      </c>
      <c r="B285" s="8">
        <v>51.0</v>
      </c>
      <c r="C285" s="7" t="s">
        <v>19</v>
      </c>
      <c r="D285" s="8">
        <v>3.0</v>
      </c>
      <c r="E285" s="39"/>
      <c r="F285" s="39"/>
      <c r="G285" s="39"/>
      <c r="H285" s="39"/>
      <c r="I285" s="39"/>
      <c r="J285" s="13"/>
    </row>
    <row r="286">
      <c r="A286" s="7" t="s">
        <v>1131</v>
      </c>
      <c r="B286" s="8">
        <v>51.0</v>
      </c>
      <c r="C286" s="7" t="s">
        <v>36</v>
      </c>
      <c r="D286" s="8">
        <v>3.0</v>
      </c>
      <c r="E286" s="35">
        <v>46229.0</v>
      </c>
      <c r="F286" s="8" t="s">
        <v>23</v>
      </c>
      <c r="G286" s="8">
        <v>97.6</v>
      </c>
      <c r="H286" s="8">
        <v>10.06</v>
      </c>
      <c r="I286" s="8">
        <v>8.28</v>
      </c>
      <c r="J286" s="13"/>
    </row>
    <row r="287">
      <c r="A287" s="15" t="s">
        <v>1133</v>
      </c>
      <c r="B287" s="17">
        <v>52.0</v>
      </c>
      <c r="C287" s="15" t="s">
        <v>19</v>
      </c>
      <c r="D287" s="17">
        <v>1.0</v>
      </c>
      <c r="E287" s="35">
        <v>46229.0</v>
      </c>
      <c r="F287" s="8" t="s">
        <v>23</v>
      </c>
      <c r="G287" s="8">
        <v>97.6</v>
      </c>
      <c r="H287" s="8">
        <v>10.06</v>
      </c>
      <c r="I287" s="17">
        <v>8.27</v>
      </c>
      <c r="J287" s="24"/>
    </row>
    <row r="288">
      <c r="A288" s="7" t="s">
        <v>1135</v>
      </c>
      <c r="B288" s="8">
        <v>53.0</v>
      </c>
      <c r="C288" s="7" t="s">
        <v>28</v>
      </c>
      <c r="D288" s="8">
        <v>3.0</v>
      </c>
      <c r="E288" s="35">
        <v>46229.0</v>
      </c>
      <c r="F288" s="8" t="s">
        <v>23</v>
      </c>
      <c r="G288" s="8">
        <v>97.6</v>
      </c>
      <c r="H288" s="8">
        <v>10.06</v>
      </c>
      <c r="I288" s="8">
        <v>8.42</v>
      </c>
      <c r="J288" s="13"/>
    </row>
    <row r="289">
      <c r="A289" s="7" t="s">
        <v>1138</v>
      </c>
      <c r="B289" s="8">
        <v>53.0</v>
      </c>
      <c r="C289" s="7" t="s">
        <v>19</v>
      </c>
      <c r="D289" s="8">
        <v>2.0</v>
      </c>
      <c r="E289" s="35">
        <v>46229.0</v>
      </c>
      <c r="F289" s="8" t="s">
        <v>23</v>
      </c>
      <c r="G289" s="8">
        <v>97.6</v>
      </c>
      <c r="H289" s="8">
        <v>10.06</v>
      </c>
      <c r="I289" s="8">
        <v>8.39</v>
      </c>
      <c r="J289" s="13"/>
    </row>
    <row r="290">
      <c r="A290" s="7" t="s">
        <v>1140</v>
      </c>
      <c r="B290" s="8">
        <v>53.0</v>
      </c>
      <c r="C290" s="7" t="s">
        <v>19</v>
      </c>
      <c r="D290" s="8">
        <v>3.0</v>
      </c>
      <c r="E290" s="39"/>
      <c r="F290" s="39"/>
      <c r="G290" s="39"/>
      <c r="H290" s="39"/>
      <c r="I290" s="39"/>
      <c r="J290" s="13"/>
    </row>
    <row r="291">
      <c r="A291" s="7" t="s">
        <v>1142</v>
      </c>
      <c r="B291" s="8">
        <v>53.0</v>
      </c>
      <c r="C291" s="7" t="s">
        <v>36</v>
      </c>
      <c r="D291" s="8">
        <v>1.0</v>
      </c>
      <c r="E291" s="35">
        <v>46229.0</v>
      </c>
      <c r="F291" s="8" t="s">
        <v>23</v>
      </c>
      <c r="G291" s="8">
        <v>97.6</v>
      </c>
      <c r="H291" s="8">
        <v>10.05</v>
      </c>
      <c r="I291" s="8">
        <v>8.31</v>
      </c>
      <c r="J291" s="13"/>
    </row>
    <row r="292">
      <c r="A292" s="7" t="s">
        <v>1144</v>
      </c>
      <c r="B292" s="8">
        <v>53.0</v>
      </c>
      <c r="C292" s="7" t="s">
        <v>36</v>
      </c>
      <c r="D292" s="8">
        <v>2.0</v>
      </c>
      <c r="E292" s="39"/>
      <c r="F292" s="39"/>
      <c r="G292" s="39"/>
      <c r="H292" s="39"/>
      <c r="I292" s="39"/>
      <c r="J292" s="13"/>
    </row>
    <row r="293">
      <c r="A293" s="15" t="s">
        <v>1146</v>
      </c>
      <c r="B293" s="17">
        <v>54.0</v>
      </c>
      <c r="C293" s="15" t="s">
        <v>28</v>
      </c>
      <c r="D293" s="17">
        <v>1.0</v>
      </c>
      <c r="E293" s="35">
        <v>46229.0</v>
      </c>
      <c r="F293" s="8" t="s">
        <v>23</v>
      </c>
      <c r="G293" s="8">
        <v>97.6</v>
      </c>
      <c r="H293" s="8">
        <v>10.05</v>
      </c>
      <c r="I293" s="17">
        <v>8.15</v>
      </c>
      <c r="J293" s="24"/>
    </row>
    <row r="294">
      <c r="A294" s="15" t="s">
        <v>1148</v>
      </c>
      <c r="B294" s="17">
        <v>54.0</v>
      </c>
      <c r="C294" s="15" t="s">
        <v>28</v>
      </c>
      <c r="D294" s="17">
        <v>2.0</v>
      </c>
      <c r="E294" s="41"/>
      <c r="F294" s="41"/>
      <c r="G294" s="41"/>
      <c r="H294" s="41"/>
      <c r="I294" s="41"/>
      <c r="J294" s="24"/>
    </row>
    <row r="295">
      <c r="A295" s="15" t="s">
        <v>1150</v>
      </c>
      <c r="B295" s="17">
        <v>54.0</v>
      </c>
      <c r="C295" s="15" t="s">
        <v>28</v>
      </c>
      <c r="D295" s="17">
        <v>3.0</v>
      </c>
      <c r="E295" s="41"/>
      <c r="F295" s="41"/>
      <c r="G295" s="41"/>
      <c r="H295" s="41"/>
      <c r="I295" s="41"/>
      <c r="J295" s="24"/>
    </row>
    <row r="296">
      <c r="A296" s="15" t="s">
        <v>1153</v>
      </c>
      <c r="B296" s="17">
        <v>54.0</v>
      </c>
      <c r="C296" s="15" t="s">
        <v>19</v>
      </c>
      <c r="D296" s="17">
        <v>1.0</v>
      </c>
      <c r="E296" s="35">
        <v>46229.0</v>
      </c>
      <c r="F296" s="8" t="s">
        <v>23</v>
      </c>
      <c r="G296" s="8">
        <v>97.6</v>
      </c>
      <c r="H296" s="8">
        <v>10.05</v>
      </c>
      <c r="I296" s="17">
        <v>8.21</v>
      </c>
      <c r="J296" s="24"/>
    </row>
    <row r="297">
      <c r="A297" s="15" t="s">
        <v>1158</v>
      </c>
      <c r="B297" s="17">
        <v>54.0</v>
      </c>
      <c r="C297" s="15" t="s">
        <v>19</v>
      </c>
      <c r="D297" s="17">
        <v>2.0</v>
      </c>
      <c r="E297" s="41"/>
      <c r="F297" s="41"/>
      <c r="G297" s="41"/>
      <c r="H297" s="41"/>
      <c r="I297" s="41"/>
      <c r="J297" s="24"/>
    </row>
    <row r="298">
      <c r="A298" s="15" t="s">
        <v>1167</v>
      </c>
      <c r="B298" s="17">
        <v>54.0</v>
      </c>
      <c r="C298" s="15" t="s">
        <v>36</v>
      </c>
      <c r="D298" s="17">
        <v>1.0</v>
      </c>
      <c r="E298" s="35">
        <v>46229.0</v>
      </c>
      <c r="F298" s="8" t="s">
        <v>23</v>
      </c>
      <c r="G298" s="8">
        <v>97.6</v>
      </c>
      <c r="H298" s="8">
        <v>10.05</v>
      </c>
      <c r="I298" s="17">
        <v>8.17</v>
      </c>
      <c r="J298" s="24"/>
    </row>
    <row r="299">
      <c r="A299" s="15" t="s">
        <v>1176</v>
      </c>
      <c r="B299" s="17">
        <v>54.0</v>
      </c>
      <c r="C299" s="15" t="s">
        <v>36</v>
      </c>
      <c r="D299" s="17">
        <v>2.0</v>
      </c>
      <c r="E299" s="41"/>
      <c r="F299" s="41"/>
      <c r="G299" s="41"/>
      <c r="H299" s="41"/>
      <c r="I299" s="41"/>
      <c r="J299" s="24"/>
    </row>
    <row r="300">
      <c r="A300" s="15" t="s">
        <v>1182</v>
      </c>
      <c r="B300" s="17">
        <v>54.0</v>
      </c>
      <c r="C300" s="15" t="s">
        <v>36</v>
      </c>
      <c r="D300" s="17">
        <v>3.0</v>
      </c>
      <c r="E300" s="41"/>
      <c r="F300" s="41"/>
      <c r="G300" s="41"/>
      <c r="H300" s="41"/>
      <c r="I300" s="41"/>
      <c r="J300" s="24"/>
    </row>
    <row r="301">
      <c r="A301" s="7" t="s">
        <v>1183</v>
      </c>
      <c r="B301" s="8">
        <v>55.0</v>
      </c>
      <c r="C301" s="7" t="s">
        <v>28</v>
      </c>
      <c r="D301" s="8">
        <v>1.0</v>
      </c>
      <c r="E301" s="39"/>
      <c r="F301" s="39"/>
      <c r="G301" s="39"/>
      <c r="H301" s="39"/>
      <c r="I301" s="39"/>
      <c r="J301" s="7" t="s">
        <v>73</v>
      </c>
    </row>
    <row r="302">
      <c r="A302" s="7" t="s">
        <v>1185</v>
      </c>
      <c r="B302" s="8">
        <v>55.0</v>
      </c>
      <c r="C302" s="7" t="s">
        <v>28</v>
      </c>
      <c r="D302" s="8">
        <v>3.0</v>
      </c>
      <c r="E302" s="39"/>
      <c r="F302" s="39"/>
      <c r="G302" s="39"/>
      <c r="H302" s="39"/>
      <c r="I302" s="39"/>
      <c r="J302" s="7" t="s">
        <v>73</v>
      </c>
    </row>
    <row r="303">
      <c r="A303" s="7" t="s">
        <v>1188</v>
      </c>
      <c r="B303" s="8">
        <v>55.0</v>
      </c>
      <c r="C303" s="7" t="s">
        <v>19</v>
      </c>
      <c r="D303" s="8">
        <v>2.0</v>
      </c>
      <c r="E303" s="39"/>
      <c r="F303" s="39"/>
      <c r="G303" s="39"/>
      <c r="H303" s="39"/>
      <c r="I303" s="39"/>
      <c r="J303" s="7" t="s">
        <v>73</v>
      </c>
    </row>
    <row r="304">
      <c r="A304" s="7" t="s">
        <v>1190</v>
      </c>
      <c r="B304" s="8">
        <v>55.0</v>
      </c>
      <c r="C304" s="7" t="s">
        <v>36</v>
      </c>
      <c r="D304" s="8">
        <v>1.0</v>
      </c>
      <c r="E304" s="39"/>
      <c r="F304" s="39"/>
      <c r="G304" s="39"/>
      <c r="H304" s="39"/>
      <c r="I304" s="39"/>
      <c r="J304" s="7" t="s">
        <v>73</v>
      </c>
    </row>
    <row r="305">
      <c r="A305" s="7" t="s">
        <v>1191</v>
      </c>
      <c r="B305" s="8">
        <v>55.0</v>
      </c>
      <c r="C305" s="7" t="s">
        <v>36</v>
      </c>
      <c r="D305" s="8">
        <v>3.0</v>
      </c>
      <c r="E305" s="39"/>
      <c r="F305" s="39"/>
      <c r="G305" s="39"/>
      <c r="H305" s="39"/>
      <c r="I305" s="39"/>
      <c r="J305" s="7" t="s">
        <v>73</v>
      </c>
    </row>
    <row r="306">
      <c r="A306" s="15" t="s">
        <v>1194</v>
      </c>
      <c r="B306" s="17">
        <v>56.0</v>
      </c>
      <c r="C306" s="15" t="s">
        <v>28</v>
      </c>
      <c r="D306" s="17">
        <v>1.0</v>
      </c>
      <c r="E306" s="35">
        <v>46229.0</v>
      </c>
      <c r="F306" s="8" t="s">
        <v>23</v>
      </c>
      <c r="G306" s="8">
        <v>97.6</v>
      </c>
      <c r="H306" s="8">
        <v>10.05</v>
      </c>
      <c r="I306" s="17">
        <v>8.11</v>
      </c>
      <c r="J306" s="24"/>
    </row>
    <row r="307">
      <c r="A307" s="15" t="s">
        <v>1196</v>
      </c>
      <c r="B307" s="17">
        <v>56.0</v>
      </c>
      <c r="C307" s="15" t="s">
        <v>28</v>
      </c>
      <c r="D307" s="17">
        <v>3.0</v>
      </c>
      <c r="E307" s="41"/>
      <c r="F307" s="41"/>
      <c r="G307" s="41"/>
      <c r="H307" s="41"/>
      <c r="I307" s="41"/>
      <c r="J307" s="24"/>
    </row>
    <row r="308">
      <c r="A308" s="15" t="s">
        <v>1198</v>
      </c>
      <c r="B308" s="17">
        <v>56.0</v>
      </c>
      <c r="C308" s="15" t="s">
        <v>19</v>
      </c>
      <c r="D308" s="17">
        <v>1.0</v>
      </c>
      <c r="E308" s="35">
        <v>46229.0</v>
      </c>
      <c r="F308" s="8" t="s">
        <v>23</v>
      </c>
      <c r="G308" s="8">
        <v>97.6</v>
      </c>
      <c r="H308" s="8">
        <v>10.05</v>
      </c>
      <c r="I308" s="17">
        <v>8.18</v>
      </c>
      <c r="J308" s="24"/>
    </row>
    <row r="309">
      <c r="A309" s="15" t="s">
        <v>1200</v>
      </c>
      <c r="B309" s="17">
        <v>56.0</v>
      </c>
      <c r="C309" s="15" t="s">
        <v>19</v>
      </c>
      <c r="D309" s="17">
        <v>3.0</v>
      </c>
      <c r="E309" s="41"/>
      <c r="F309" s="41"/>
      <c r="G309" s="41"/>
      <c r="H309" s="41"/>
      <c r="I309" s="41"/>
      <c r="J309" s="24"/>
    </row>
    <row r="310">
      <c r="A310" s="7" t="s">
        <v>1202</v>
      </c>
      <c r="B310" s="8">
        <v>57.0</v>
      </c>
      <c r="C310" s="7" t="s">
        <v>28</v>
      </c>
      <c r="D310" s="8">
        <v>2.0</v>
      </c>
      <c r="E310" s="35">
        <v>46229.0</v>
      </c>
      <c r="F310" s="8" t="s">
        <v>23</v>
      </c>
      <c r="G310" s="8">
        <v>97.6</v>
      </c>
      <c r="H310" s="8">
        <v>10.05</v>
      </c>
      <c r="I310" s="8">
        <v>8.43</v>
      </c>
      <c r="J310" s="13"/>
    </row>
    <row r="311">
      <c r="A311" s="7" t="s">
        <v>1204</v>
      </c>
      <c r="B311" s="8">
        <v>57.0</v>
      </c>
      <c r="C311" s="7" t="s">
        <v>19</v>
      </c>
      <c r="D311" s="8">
        <v>3.0</v>
      </c>
      <c r="E311" s="35">
        <v>46229.0</v>
      </c>
      <c r="F311" s="8" t="s">
        <v>23</v>
      </c>
      <c r="G311" s="8">
        <v>97.6</v>
      </c>
      <c r="H311" s="8">
        <v>10.05</v>
      </c>
      <c r="I311" s="8">
        <v>8.39</v>
      </c>
      <c r="J311" s="13"/>
    </row>
    <row r="312">
      <c r="A312" s="7" t="s">
        <v>1206</v>
      </c>
      <c r="B312" s="8">
        <v>57.0</v>
      </c>
      <c r="C312" s="7" t="s">
        <v>36</v>
      </c>
      <c r="D312" s="8">
        <v>1.0</v>
      </c>
      <c r="E312" s="39"/>
      <c r="F312" s="39"/>
      <c r="G312" s="39"/>
      <c r="H312" s="39"/>
      <c r="I312" s="39"/>
      <c r="J312" s="13"/>
    </row>
    <row r="313">
      <c r="A313" s="7" t="s">
        <v>1208</v>
      </c>
      <c r="B313" s="8">
        <v>57.0</v>
      </c>
      <c r="C313" s="7" t="s">
        <v>36</v>
      </c>
      <c r="D313" s="8">
        <v>3.0</v>
      </c>
      <c r="E313" s="35">
        <v>46229.0</v>
      </c>
      <c r="F313" s="8" t="s">
        <v>23</v>
      </c>
      <c r="G313" s="8">
        <v>97.6</v>
      </c>
      <c r="H313" s="8">
        <v>10.05</v>
      </c>
      <c r="I313" s="8">
        <v>8.4</v>
      </c>
      <c r="J313" s="13"/>
    </row>
    <row r="314">
      <c r="A314" s="15" t="s">
        <v>1209</v>
      </c>
      <c r="B314" s="17">
        <v>58.0</v>
      </c>
      <c r="C314" s="15" t="s">
        <v>28</v>
      </c>
      <c r="D314" s="17">
        <v>2.0</v>
      </c>
      <c r="E314" s="35">
        <v>46229.0</v>
      </c>
      <c r="F314" s="8" t="s">
        <v>23</v>
      </c>
      <c r="G314" s="8">
        <v>97.6</v>
      </c>
      <c r="H314" s="8">
        <v>10.05</v>
      </c>
      <c r="I314" s="17">
        <v>8.26</v>
      </c>
      <c r="J314" s="24"/>
    </row>
    <row r="315">
      <c r="A315" s="15" t="s">
        <v>1211</v>
      </c>
      <c r="B315" s="17">
        <v>58.0</v>
      </c>
      <c r="C315" s="15" t="s">
        <v>28</v>
      </c>
      <c r="D315" s="17">
        <v>3.0</v>
      </c>
      <c r="E315" s="41"/>
      <c r="F315" s="41"/>
      <c r="G315" s="41"/>
      <c r="H315" s="41"/>
      <c r="I315" s="41"/>
      <c r="J315" s="24"/>
    </row>
    <row r="316">
      <c r="A316" s="15" t="s">
        <v>1213</v>
      </c>
      <c r="B316" s="17">
        <v>58.0</v>
      </c>
      <c r="C316" s="15" t="s">
        <v>36</v>
      </c>
      <c r="D316" s="17">
        <v>1.0</v>
      </c>
      <c r="E316" s="35">
        <v>46229.0</v>
      </c>
      <c r="F316" s="8" t="s">
        <v>23</v>
      </c>
      <c r="G316" s="8">
        <v>97.6</v>
      </c>
      <c r="H316" s="8">
        <v>10.05</v>
      </c>
      <c r="I316" s="17">
        <v>8.23</v>
      </c>
      <c r="J316" s="24"/>
    </row>
    <row r="317">
      <c r="A317" s="7" t="s">
        <v>1215</v>
      </c>
      <c r="B317" s="8">
        <v>59.0</v>
      </c>
      <c r="C317" s="7" t="s">
        <v>36</v>
      </c>
      <c r="D317" s="8">
        <v>3.0</v>
      </c>
      <c r="E317" s="35">
        <v>46229.0</v>
      </c>
      <c r="F317" s="8" t="s">
        <v>23</v>
      </c>
      <c r="G317" s="8">
        <v>97.6</v>
      </c>
      <c r="H317" s="8">
        <v>10.05</v>
      </c>
      <c r="I317" s="8">
        <v>8.45</v>
      </c>
      <c r="J317" s="13"/>
    </row>
    <row r="318">
      <c r="A318" s="15" t="s">
        <v>1218</v>
      </c>
      <c r="B318" s="17">
        <v>60.0</v>
      </c>
      <c r="C318" s="15" t="s">
        <v>28</v>
      </c>
      <c r="D318" s="17">
        <v>3.0</v>
      </c>
      <c r="E318" s="35">
        <v>46229.0</v>
      </c>
      <c r="F318" s="8" t="s">
        <v>23</v>
      </c>
      <c r="G318" s="8">
        <v>97.6</v>
      </c>
      <c r="H318" s="8">
        <v>10.05</v>
      </c>
      <c r="I318" s="17">
        <v>8.22</v>
      </c>
      <c r="J318" s="24"/>
    </row>
    <row r="319">
      <c r="A319" s="15" t="s">
        <v>1221</v>
      </c>
      <c r="B319" s="17">
        <v>60.0</v>
      </c>
      <c r="C319" s="15" t="s">
        <v>19</v>
      </c>
      <c r="D319" s="17">
        <v>2.0</v>
      </c>
      <c r="E319" s="35">
        <v>46229.0</v>
      </c>
      <c r="F319" s="8" t="s">
        <v>23</v>
      </c>
      <c r="G319" s="8">
        <v>97.6</v>
      </c>
      <c r="H319" s="8">
        <v>10.05</v>
      </c>
      <c r="I319" s="17">
        <v>8.2</v>
      </c>
      <c r="J319" s="24"/>
    </row>
    <row r="320">
      <c r="A320" s="15" t="s">
        <v>1225</v>
      </c>
      <c r="B320" s="17">
        <v>60.0</v>
      </c>
      <c r="C320" s="15" t="s">
        <v>19</v>
      </c>
      <c r="D320" s="17">
        <v>3.0</v>
      </c>
      <c r="E320" s="41"/>
      <c r="F320" s="41"/>
      <c r="G320" s="41"/>
      <c r="H320" s="41"/>
      <c r="I320" s="41"/>
      <c r="J32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</row>
    <row r="2">
      <c r="A2" s="7" t="s">
        <v>14</v>
      </c>
      <c r="B2" s="8">
        <v>1.0</v>
      </c>
      <c r="C2" s="7" t="s">
        <v>19</v>
      </c>
      <c r="D2" s="8">
        <v>1.0</v>
      </c>
      <c r="E2" s="8" t="s">
        <v>21</v>
      </c>
      <c r="F2" s="8" t="s">
        <v>23</v>
      </c>
      <c r="G2" s="8">
        <v>98.0</v>
      </c>
      <c r="H2" s="8">
        <v>10.06</v>
      </c>
      <c r="I2" s="8">
        <v>7.81</v>
      </c>
      <c r="J2" s="13"/>
    </row>
    <row r="3">
      <c r="A3" s="15" t="s">
        <v>31</v>
      </c>
      <c r="B3" s="17">
        <v>2.0</v>
      </c>
      <c r="C3" s="15" t="s">
        <v>36</v>
      </c>
      <c r="D3" s="17">
        <v>1.0</v>
      </c>
      <c r="E3" s="17" t="s">
        <v>21</v>
      </c>
      <c r="F3" s="17" t="s">
        <v>23</v>
      </c>
      <c r="G3" s="17">
        <v>98.0</v>
      </c>
      <c r="H3" s="17">
        <v>10.06</v>
      </c>
      <c r="I3" s="17">
        <v>7.4</v>
      </c>
      <c r="J3" s="24"/>
    </row>
    <row r="4">
      <c r="A4" s="15" t="s">
        <v>49</v>
      </c>
      <c r="B4" s="17">
        <v>2.0</v>
      </c>
      <c r="C4" s="15" t="s">
        <v>36</v>
      </c>
      <c r="D4" s="17">
        <v>3.0</v>
      </c>
      <c r="E4" s="17" t="s">
        <v>21</v>
      </c>
      <c r="F4" s="17" t="s">
        <v>23</v>
      </c>
      <c r="G4" s="17">
        <v>98.0</v>
      </c>
      <c r="H4" s="17">
        <v>10.06</v>
      </c>
      <c r="I4" s="17">
        <v>7.49</v>
      </c>
      <c r="J4" s="24"/>
    </row>
    <row r="5">
      <c r="A5" s="15" t="s">
        <v>57</v>
      </c>
      <c r="B5" s="17">
        <v>2.0</v>
      </c>
      <c r="C5" s="15" t="s">
        <v>19</v>
      </c>
      <c r="D5" s="17">
        <v>2.0</v>
      </c>
      <c r="E5" s="17" t="s">
        <v>21</v>
      </c>
      <c r="F5" s="17" t="s">
        <v>23</v>
      </c>
      <c r="G5" s="17">
        <v>98.0</v>
      </c>
      <c r="H5" s="17">
        <v>10.06</v>
      </c>
      <c r="I5" s="17">
        <v>7.8</v>
      </c>
      <c r="J5" s="24"/>
    </row>
    <row r="6">
      <c r="A6" s="7" t="s">
        <v>64</v>
      </c>
      <c r="B6" s="8">
        <v>3.0</v>
      </c>
      <c r="C6" s="7" t="s">
        <v>19</v>
      </c>
      <c r="D6" s="8">
        <v>2.0</v>
      </c>
      <c r="E6" s="8" t="s">
        <v>21</v>
      </c>
      <c r="F6" s="8" t="s">
        <v>23</v>
      </c>
      <c r="G6" s="8">
        <v>98.0</v>
      </c>
      <c r="H6" s="8">
        <v>10.06</v>
      </c>
      <c r="I6" s="8" t="s">
        <v>71</v>
      </c>
      <c r="J6" s="7" t="s">
        <v>73</v>
      </c>
    </row>
    <row r="7">
      <c r="A7" s="15" t="s">
        <v>74</v>
      </c>
      <c r="B7" s="17">
        <v>4.0</v>
      </c>
      <c r="C7" s="15" t="s">
        <v>28</v>
      </c>
      <c r="D7" s="17">
        <v>1.0</v>
      </c>
      <c r="E7" s="17" t="s">
        <v>21</v>
      </c>
      <c r="F7" s="17" t="s">
        <v>23</v>
      </c>
      <c r="G7" s="17">
        <v>98.0</v>
      </c>
      <c r="H7" s="17">
        <v>10.06</v>
      </c>
      <c r="I7" s="17">
        <v>7.79</v>
      </c>
      <c r="J7" s="24"/>
    </row>
    <row r="8">
      <c r="A8" s="15" t="s">
        <v>79</v>
      </c>
      <c r="B8" s="17">
        <v>4.0</v>
      </c>
      <c r="C8" s="15" t="s">
        <v>36</v>
      </c>
      <c r="D8" s="17">
        <v>1.0</v>
      </c>
      <c r="E8" s="17" t="s">
        <v>21</v>
      </c>
      <c r="F8" s="17" t="s">
        <v>23</v>
      </c>
      <c r="G8" s="17">
        <v>98.0</v>
      </c>
      <c r="H8" s="17">
        <v>10.06</v>
      </c>
      <c r="I8" s="17">
        <v>7.7</v>
      </c>
      <c r="J8" s="24"/>
    </row>
    <row r="9">
      <c r="A9" s="15" t="s">
        <v>81</v>
      </c>
      <c r="B9" s="17">
        <v>4.0</v>
      </c>
      <c r="C9" s="15" t="s">
        <v>36</v>
      </c>
      <c r="D9" s="17">
        <v>2.0</v>
      </c>
      <c r="E9" s="17" t="s">
        <v>21</v>
      </c>
      <c r="F9" s="17" t="s">
        <v>23</v>
      </c>
      <c r="G9" s="17">
        <v>98.0</v>
      </c>
      <c r="H9" s="17">
        <v>10.06</v>
      </c>
      <c r="I9" s="17">
        <v>7.84</v>
      </c>
      <c r="J9" s="24"/>
    </row>
    <row r="10">
      <c r="A10" s="7" t="s">
        <v>84</v>
      </c>
      <c r="B10" s="8">
        <v>5.0</v>
      </c>
      <c r="C10" s="7" t="s">
        <v>28</v>
      </c>
      <c r="D10" s="8">
        <v>1.0</v>
      </c>
      <c r="E10" s="8" t="s">
        <v>21</v>
      </c>
      <c r="F10" s="8" t="s">
        <v>23</v>
      </c>
      <c r="G10" s="8">
        <v>98.0</v>
      </c>
      <c r="H10" s="8">
        <v>10.06</v>
      </c>
      <c r="I10" s="8">
        <v>7.75</v>
      </c>
      <c r="J10" s="13"/>
    </row>
    <row r="11">
      <c r="A11" s="7" t="s">
        <v>85</v>
      </c>
      <c r="B11" s="8">
        <v>5.0</v>
      </c>
      <c r="C11" s="7" t="s">
        <v>28</v>
      </c>
      <c r="D11" s="8">
        <v>2.0</v>
      </c>
      <c r="E11" s="8" t="s">
        <v>21</v>
      </c>
      <c r="F11" s="8" t="s">
        <v>23</v>
      </c>
      <c r="G11" s="8">
        <v>98.0</v>
      </c>
      <c r="H11" s="8">
        <v>10.06</v>
      </c>
      <c r="I11" s="8">
        <v>7.75</v>
      </c>
      <c r="J11" s="13"/>
    </row>
    <row r="12">
      <c r="A12" s="7" t="s">
        <v>86</v>
      </c>
      <c r="B12" s="8">
        <v>5.0</v>
      </c>
      <c r="C12" s="7" t="s">
        <v>28</v>
      </c>
      <c r="D12" s="8">
        <v>3.0</v>
      </c>
      <c r="E12" s="8" t="s">
        <v>21</v>
      </c>
      <c r="F12" s="8" t="s">
        <v>23</v>
      </c>
      <c r="G12" s="8">
        <v>98.0</v>
      </c>
      <c r="H12" s="8">
        <v>10.06</v>
      </c>
      <c r="I12" s="8">
        <v>7.82</v>
      </c>
      <c r="J12" s="13"/>
    </row>
    <row r="13">
      <c r="A13" s="7" t="s">
        <v>88</v>
      </c>
      <c r="B13" s="8">
        <v>5.0</v>
      </c>
      <c r="C13" s="7" t="s">
        <v>36</v>
      </c>
      <c r="D13" s="8">
        <v>1.0</v>
      </c>
      <c r="E13" s="8" t="s">
        <v>21</v>
      </c>
      <c r="F13" s="8" t="s">
        <v>23</v>
      </c>
      <c r="G13" s="8">
        <v>98.0</v>
      </c>
      <c r="H13" s="8">
        <v>10.06</v>
      </c>
      <c r="I13" s="8">
        <v>7.59</v>
      </c>
      <c r="J13" s="13"/>
    </row>
    <row r="14">
      <c r="A14" s="15" t="s">
        <v>89</v>
      </c>
      <c r="B14" s="17">
        <v>6.0</v>
      </c>
      <c r="C14" s="15" t="s">
        <v>28</v>
      </c>
      <c r="D14" s="17">
        <v>3.0</v>
      </c>
      <c r="E14" s="17" t="s">
        <v>21</v>
      </c>
      <c r="F14" s="17" t="s">
        <v>23</v>
      </c>
      <c r="G14" s="17">
        <v>98.0</v>
      </c>
      <c r="H14" s="17">
        <v>10.06</v>
      </c>
      <c r="I14" s="17" t="s">
        <v>71</v>
      </c>
      <c r="J14" s="15" t="s">
        <v>73</v>
      </c>
    </row>
    <row r="15">
      <c r="A15" s="15" t="s">
        <v>91</v>
      </c>
      <c r="B15" s="17">
        <v>6.0</v>
      </c>
      <c r="C15" s="15" t="s">
        <v>19</v>
      </c>
      <c r="D15" s="17">
        <v>1.0</v>
      </c>
      <c r="E15" s="17" t="s">
        <v>21</v>
      </c>
      <c r="F15" s="17" t="s">
        <v>23</v>
      </c>
      <c r="G15" s="17">
        <v>98.0</v>
      </c>
      <c r="H15" s="17">
        <v>10.06</v>
      </c>
      <c r="I15" s="17">
        <v>7.64</v>
      </c>
      <c r="J15" s="24"/>
    </row>
    <row r="16">
      <c r="A16" s="15" t="s">
        <v>93</v>
      </c>
      <c r="B16" s="17">
        <v>6.0</v>
      </c>
      <c r="C16" s="15" t="s">
        <v>19</v>
      </c>
      <c r="D16" s="17">
        <v>2.0</v>
      </c>
      <c r="E16" s="17" t="s">
        <v>21</v>
      </c>
      <c r="F16" s="17" t="s">
        <v>23</v>
      </c>
      <c r="G16" s="17">
        <v>98.0</v>
      </c>
      <c r="H16" s="17">
        <v>10.06</v>
      </c>
      <c r="I16" s="17">
        <v>7.55</v>
      </c>
      <c r="J16" s="24"/>
    </row>
    <row r="17">
      <c r="A17" s="15" t="s">
        <v>95</v>
      </c>
      <c r="B17" s="17">
        <v>6.0</v>
      </c>
      <c r="C17" s="15" t="s">
        <v>36</v>
      </c>
      <c r="D17" s="17">
        <v>2.0</v>
      </c>
      <c r="E17" s="17" t="s">
        <v>21</v>
      </c>
      <c r="F17" s="17" t="s">
        <v>23</v>
      </c>
      <c r="G17" s="17">
        <v>98.0</v>
      </c>
      <c r="H17" s="17">
        <v>10.06</v>
      </c>
      <c r="I17" s="17">
        <v>7.55</v>
      </c>
      <c r="J17" s="24"/>
    </row>
    <row r="18">
      <c r="A18" s="15" t="s">
        <v>97</v>
      </c>
      <c r="B18" s="17">
        <v>6.0</v>
      </c>
      <c r="C18" s="15" t="s">
        <v>36</v>
      </c>
      <c r="D18" s="17">
        <v>3.0</v>
      </c>
      <c r="E18" s="17" t="s">
        <v>21</v>
      </c>
      <c r="F18" s="17" t="s">
        <v>23</v>
      </c>
      <c r="G18" s="17">
        <v>98.0</v>
      </c>
      <c r="H18" s="17">
        <v>10.06</v>
      </c>
      <c r="I18" s="17">
        <v>7.57</v>
      </c>
      <c r="J18" s="24"/>
    </row>
    <row r="19">
      <c r="A19" s="7" t="s">
        <v>98</v>
      </c>
      <c r="B19" s="8">
        <v>7.0</v>
      </c>
      <c r="C19" s="7" t="s">
        <v>36</v>
      </c>
      <c r="D19" s="8">
        <v>1.0</v>
      </c>
      <c r="E19" s="8" t="s">
        <v>21</v>
      </c>
      <c r="F19" s="8" t="s">
        <v>23</v>
      </c>
      <c r="G19" s="8">
        <v>98.0</v>
      </c>
      <c r="H19" s="8">
        <v>10.06</v>
      </c>
      <c r="I19" s="8">
        <v>7.62</v>
      </c>
      <c r="J19" s="13"/>
    </row>
    <row r="20">
      <c r="A20" s="7" t="s">
        <v>100</v>
      </c>
      <c r="B20" s="8">
        <v>7.0</v>
      </c>
      <c r="C20" s="7" t="s">
        <v>36</v>
      </c>
      <c r="D20" s="8">
        <v>2.0</v>
      </c>
      <c r="E20" s="8" t="s">
        <v>21</v>
      </c>
      <c r="F20" s="8" t="s">
        <v>23</v>
      </c>
      <c r="G20" s="8">
        <v>98.0</v>
      </c>
      <c r="H20" s="8">
        <v>10.06</v>
      </c>
      <c r="I20" s="8">
        <v>7.57</v>
      </c>
      <c r="J20" s="13"/>
    </row>
    <row r="21">
      <c r="A21" s="7" t="s">
        <v>102</v>
      </c>
      <c r="B21" s="8">
        <v>7.0</v>
      </c>
      <c r="C21" s="7" t="s">
        <v>36</v>
      </c>
      <c r="D21" s="8">
        <v>3.0</v>
      </c>
      <c r="E21" s="8" t="s">
        <v>21</v>
      </c>
      <c r="F21" s="8" t="s">
        <v>23</v>
      </c>
      <c r="G21" s="8">
        <v>98.0</v>
      </c>
      <c r="H21" s="8">
        <v>10.06</v>
      </c>
      <c r="I21" s="8">
        <v>7.5</v>
      </c>
      <c r="J21" s="13"/>
    </row>
    <row r="22">
      <c r="A22" s="7" t="s">
        <v>103</v>
      </c>
      <c r="B22" s="8">
        <v>7.0</v>
      </c>
      <c r="C22" s="7" t="s">
        <v>19</v>
      </c>
      <c r="D22" s="8">
        <v>3.0</v>
      </c>
      <c r="E22" s="8" t="s">
        <v>21</v>
      </c>
      <c r="F22" s="8" t="s">
        <v>23</v>
      </c>
      <c r="G22" s="8">
        <v>98.0</v>
      </c>
      <c r="H22" s="8">
        <v>10.06</v>
      </c>
      <c r="I22" s="8" t="s">
        <v>71</v>
      </c>
      <c r="J22" s="7" t="s">
        <v>73</v>
      </c>
    </row>
    <row r="23">
      <c r="A23" s="15" t="s">
        <v>105</v>
      </c>
      <c r="B23" s="17">
        <v>8.0</v>
      </c>
      <c r="C23" s="15" t="s">
        <v>28</v>
      </c>
      <c r="D23" s="17">
        <v>3.0</v>
      </c>
      <c r="E23" s="17" t="s">
        <v>21</v>
      </c>
      <c r="F23" s="17" t="s">
        <v>23</v>
      </c>
      <c r="G23" s="17">
        <v>98.0</v>
      </c>
      <c r="H23" s="17">
        <v>10.06</v>
      </c>
      <c r="I23" s="17">
        <v>7.53</v>
      </c>
      <c r="J23" s="24"/>
    </row>
    <row r="24">
      <c r="A24" s="15" t="s">
        <v>107</v>
      </c>
      <c r="B24" s="17">
        <v>8.0</v>
      </c>
      <c r="C24" s="15" t="s">
        <v>19</v>
      </c>
      <c r="D24" s="17">
        <v>1.0</v>
      </c>
      <c r="E24" s="17" t="s">
        <v>21</v>
      </c>
      <c r="F24" s="17" t="s">
        <v>23</v>
      </c>
      <c r="G24" s="17">
        <v>98.0</v>
      </c>
      <c r="H24" s="17">
        <v>10.06</v>
      </c>
      <c r="I24" s="17">
        <v>7.91</v>
      </c>
      <c r="J24" s="24"/>
    </row>
    <row r="25">
      <c r="A25" s="15" t="s">
        <v>109</v>
      </c>
      <c r="B25" s="17">
        <v>8.0</v>
      </c>
      <c r="C25" s="15" t="s">
        <v>19</v>
      </c>
      <c r="D25" s="17">
        <v>3.0</v>
      </c>
      <c r="E25" s="17" t="s">
        <v>21</v>
      </c>
      <c r="F25" s="17" t="s">
        <v>23</v>
      </c>
      <c r="G25" s="17">
        <v>98.0</v>
      </c>
      <c r="H25" s="17">
        <v>10.06</v>
      </c>
      <c r="I25" s="17">
        <v>7.87</v>
      </c>
      <c r="J25" s="24"/>
    </row>
    <row r="26">
      <c r="A26" s="15" t="s">
        <v>110</v>
      </c>
      <c r="B26" s="17">
        <v>8.0</v>
      </c>
      <c r="C26" s="15" t="s">
        <v>36</v>
      </c>
      <c r="D26" s="17">
        <v>1.0</v>
      </c>
      <c r="E26" s="17" t="s">
        <v>21</v>
      </c>
      <c r="F26" s="17" t="s">
        <v>23</v>
      </c>
      <c r="G26" s="17">
        <v>98.0</v>
      </c>
      <c r="H26" s="17">
        <v>10.06</v>
      </c>
      <c r="I26" s="17">
        <v>7.56</v>
      </c>
      <c r="J26" s="24"/>
    </row>
    <row r="27">
      <c r="A27" s="15" t="s">
        <v>112</v>
      </c>
      <c r="B27" s="17">
        <v>8.0</v>
      </c>
      <c r="C27" s="15" t="s">
        <v>36</v>
      </c>
      <c r="D27" s="17">
        <v>3.0</v>
      </c>
      <c r="E27" s="17" t="s">
        <v>21</v>
      </c>
      <c r="F27" s="17" t="s">
        <v>23</v>
      </c>
      <c r="G27" s="17">
        <v>98.0</v>
      </c>
      <c r="H27" s="17">
        <v>10.06</v>
      </c>
      <c r="I27" s="17">
        <v>7.49</v>
      </c>
      <c r="J27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  <c r="J1" s="3" t="s">
        <v>13</v>
      </c>
    </row>
    <row r="2">
      <c r="A2" s="9" t="s">
        <v>22</v>
      </c>
      <c r="B2" s="11">
        <v>1.0</v>
      </c>
      <c r="C2" s="9" t="s">
        <v>28</v>
      </c>
      <c r="D2" s="11">
        <v>1.0</v>
      </c>
      <c r="E2" s="16">
        <v>46363.0</v>
      </c>
      <c r="F2" s="11" t="s">
        <v>23</v>
      </c>
      <c r="G2" s="18">
        <v>100.0</v>
      </c>
      <c r="H2" s="19">
        <v>9.95</v>
      </c>
      <c r="I2" s="20">
        <v>7.96</v>
      </c>
      <c r="J2" s="22"/>
    </row>
    <row r="3">
      <c r="A3" s="9" t="s">
        <v>45</v>
      </c>
      <c r="B3" s="11">
        <v>1.0</v>
      </c>
      <c r="C3" s="9" t="s">
        <v>28</v>
      </c>
      <c r="D3" s="11">
        <v>2.0</v>
      </c>
      <c r="E3" s="16">
        <v>46363.0</v>
      </c>
      <c r="F3" s="11" t="s">
        <v>23</v>
      </c>
      <c r="G3" s="18">
        <v>100.0</v>
      </c>
      <c r="H3" s="19">
        <v>9.95</v>
      </c>
      <c r="I3" s="19">
        <v>7.97</v>
      </c>
      <c r="J3" s="22"/>
    </row>
    <row r="4">
      <c r="A4" s="9" t="s">
        <v>50</v>
      </c>
      <c r="B4" s="11">
        <v>1.0</v>
      </c>
      <c r="C4" s="9" t="s">
        <v>28</v>
      </c>
      <c r="D4" s="11">
        <v>3.0</v>
      </c>
      <c r="E4" s="16">
        <v>46363.0</v>
      </c>
      <c r="F4" s="11" t="s">
        <v>23</v>
      </c>
      <c r="G4" s="18">
        <v>100.0</v>
      </c>
      <c r="H4" s="19">
        <v>9.95</v>
      </c>
      <c r="I4" s="19">
        <v>7.97</v>
      </c>
      <c r="J4" s="22"/>
    </row>
    <row r="5">
      <c r="A5" s="9" t="s">
        <v>60</v>
      </c>
      <c r="B5" s="11">
        <v>1.0</v>
      </c>
      <c r="C5" s="9" t="s">
        <v>19</v>
      </c>
      <c r="D5" s="11">
        <v>1.0</v>
      </c>
      <c r="E5" s="16">
        <v>46363.0</v>
      </c>
      <c r="F5" s="11" t="s">
        <v>23</v>
      </c>
      <c r="G5" s="18">
        <v>100.0</v>
      </c>
      <c r="H5" s="19">
        <v>9.95</v>
      </c>
      <c r="I5" s="18">
        <v>7.93</v>
      </c>
      <c r="J5" s="22"/>
    </row>
    <row r="6">
      <c r="A6" s="9" t="s">
        <v>68</v>
      </c>
      <c r="B6" s="11">
        <v>1.0</v>
      </c>
      <c r="C6" s="9" t="s">
        <v>19</v>
      </c>
      <c r="D6" s="11">
        <v>2.0</v>
      </c>
      <c r="E6" s="16">
        <v>46363.0</v>
      </c>
      <c r="F6" s="11" t="s">
        <v>23</v>
      </c>
      <c r="G6" s="18">
        <v>100.0</v>
      </c>
      <c r="H6" s="19">
        <v>9.95</v>
      </c>
      <c r="I6" s="19">
        <v>7.99</v>
      </c>
      <c r="J6" s="22"/>
    </row>
    <row r="7">
      <c r="A7" s="9" t="s">
        <v>78</v>
      </c>
      <c r="B7" s="11">
        <v>1.0</v>
      </c>
      <c r="C7" s="9" t="s">
        <v>19</v>
      </c>
      <c r="D7" s="11">
        <v>3.0</v>
      </c>
      <c r="E7" s="16">
        <v>46363.0</v>
      </c>
      <c r="F7" s="11" t="s">
        <v>23</v>
      </c>
      <c r="G7" s="18">
        <v>100.0</v>
      </c>
      <c r="H7" s="19">
        <v>9.95</v>
      </c>
      <c r="I7" s="19">
        <v>7.92</v>
      </c>
      <c r="J7" s="22"/>
    </row>
    <row r="8">
      <c r="A8" s="9" t="s">
        <v>80</v>
      </c>
      <c r="B8" s="11">
        <v>1.0</v>
      </c>
      <c r="C8" s="9" t="s">
        <v>36</v>
      </c>
      <c r="D8" s="11">
        <v>1.0</v>
      </c>
      <c r="E8" s="16">
        <v>46363.0</v>
      </c>
      <c r="F8" s="11" t="s">
        <v>23</v>
      </c>
      <c r="G8" s="18">
        <v>100.0</v>
      </c>
      <c r="H8" s="19">
        <v>9.95</v>
      </c>
      <c r="I8" s="18">
        <v>7.84</v>
      </c>
      <c r="J8" s="22"/>
    </row>
    <row r="9">
      <c r="A9" s="9" t="s">
        <v>82</v>
      </c>
      <c r="B9" s="11">
        <v>1.0</v>
      </c>
      <c r="C9" s="9" t="s">
        <v>36</v>
      </c>
      <c r="D9" s="11">
        <v>2.0</v>
      </c>
      <c r="E9" s="16">
        <v>46363.0</v>
      </c>
      <c r="F9" s="11" t="s">
        <v>23</v>
      </c>
      <c r="G9" s="18">
        <v>100.0</v>
      </c>
      <c r="H9" s="19">
        <v>9.95</v>
      </c>
      <c r="I9" s="19">
        <v>7.73</v>
      </c>
      <c r="J9" s="22"/>
    </row>
    <row r="10">
      <c r="A10" s="9" t="s">
        <v>83</v>
      </c>
      <c r="B10" s="11">
        <v>1.0</v>
      </c>
      <c r="C10" s="9" t="s">
        <v>36</v>
      </c>
      <c r="D10" s="11">
        <v>3.0</v>
      </c>
      <c r="E10" s="16">
        <v>46363.0</v>
      </c>
      <c r="F10" s="11" t="s">
        <v>23</v>
      </c>
      <c r="G10" s="18">
        <v>100.0</v>
      </c>
      <c r="H10" s="19">
        <v>9.95</v>
      </c>
      <c r="I10" s="19">
        <v>7.71</v>
      </c>
      <c r="J10" s="22"/>
    </row>
    <row r="11">
      <c r="A11" s="9" t="s">
        <v>87</v>
      </c>
      <c r="B11" s="11">
        <v>5.0</v>
      </c>
      <c r="C11" s="9" t="s">
        <v>28</v>
      </c>
      <c r="D11" s="11">
        <v>1.0</v>
      </c>
      <c r="E11" s="16">
        <v>46230.0</v>
      </c>
      <c r="F11" s="11" t="s">
        <v>23</v>
      </c>
      <c r="G11" s="11">
        <v>97.9</v>
      </c>
      <c r="H11" s="11">
        <v>10.06</v>
      </c>
      <c r="I11" s="11">
        <v>8.27</v>
      </c>
      <c r="J11" s="22"/>
    </row>
    <row r="12">
      <c r="A12" s="9" t="s">
        <v>90</v>
      </c>
      <c r="B12" s="11">
        <v>5.0</v>
      </c>
      <c r="C12" s="9" t="s">
        <v>28</v>
      </c>
      <c r="D12" s="11">
        <v>2.0</v>
      </c>
      <c r="E12" s="30"/>
      <c r="F12" s="30"/>
      <c r="G12" s="30"/>
      <c r="H12" s="30"/>
      <c r="I12" s="30"/>
      <c r="J12" s="22"/>
    </row>
    <row r="13">
      <c r="A13" s="9" t="s">
        <v>92</v>
      </c>
      <c r="B13" s="11">
        <v>5.0</v>
      </c>
      <c r="C13" s="9" t="s">
        <v>28</v>
      </c>
      <c r="D13" s="11">
        <v>3.0</v>
      </c>
      <c r="E13" s="30"/>
      <c r="F13" s="30"/>
      <c r="G13" s="30"/>
      <c r="H13" s="30"/>
      <c r="I13" s="30"/>
      <c r="J13" s="22"/>
    </row>
    <row r="14">
      <c r="A14" s="9" t="s">
        <v>94</v>
      </c>
      <c r="B14" s="11">
        <v>5.0</v>
      </c>
      <c r="C14" s="9" t="s">
        <v>19</v>
      </c>
      <c r="D14" s="11">
        <v>2.0</v>
      </c>
      <c r="E14" s="16">
        <v>46230.0</v>
      </c>
      <c r="F14" s="11" t="s">
        <v>23</v>
      </c>
      <c r="G14" s="11">
        <v>97.9</v>
      </c>
      <c r="H14" s="11">
        <v>10.06</v>
      </c>
      <c r="I14" s="11">
        <v>8.2</v>
      </c>
      <c r="J14" s="22"/>
    </row>
    <row r="15">
      <c r="A15" s="9" t="s">
        <v>96</v>
      </c>
      <c r="B15" s="11">
        <v>5.0</v>
      </c>
      <c r="C15" s="9" t="s">
        <v>19</v>
      </c>
      <c r="D15" s="11">
        <v>3.0</v>
      </c>
      <c r="E15" s="30"/>
      <c r="F15" s="30"/>
      <c r="G15" s="30"/>
      <c r="H15" s="30"/>
      <c r="I15" s="30"/>
      <c r="J15" s="22"/>
    </row>
    <row r="16">
      <c r="A16" s="9" t="s">
        <v>99</v>
      </c>
      <c r="B16" s="11">
        <v>5.0</v>
      </c>
      <c r="C16" s="9" t="s">
        <v>36</v>
      </c>
      <c r="D16" s="11">
        <v>2.0</v>
      </c>
      <c r="E16" s="16">
        <v>46230.0</v>
      </c>
      <c r="F16" s="11" t="s">
        <v>23</v>
      </c>
      <c r="G16" s="11">
        <v>97.9</v>
      </c>
      <c r="H16" s="11">
        <v>10.06</v>
      </c>
      <c r="I16" s="11">
        <v>8.23</v>
      </c>
      <c r="J16" s="22"/>
    </row>
    <row r="17">
      <c r="A17" s="31" t="s">
        <v>101</v>
      </c>
      <c r="B17" s="32">
        <v>6.0</v>
      </c>
      <c r="C17" s="31" t="s">
        <v>28</v>
      </c>
      <c r="D17" s="32">
        <v>1.0</v>
      </c>
      <c r="E17" s="16">
        <v>46230.0</v>
      </c>
      <c r="F17" s="11" t="s">
        <v>23</v>
      </c>
      <c r="G17" s="11">
        <v>97.9</v>
      </c>
      <c r="H17" s="11">
        <v>10.06</v>
      </c>
      <c r="I17" s="32">
        <v>7.7</v>
      </c>
      <c r="J17" s="33"/>
    </row>
    <row r="18">
      <c r="A18" s="31" t="s">
        <v>104</v>
      </c>
      <c r="B18" s="32">
        <v>6.0</v>
      </c>
      <c r="C18" s="31" t="s">
        <v>28</v>
      </c>
      <c r="D18" s="32">
        <v>2.0</v>
      </c>
      <c r="E18" s="34"/>
      <c r="F18" s="34"/>
      <c r="G18" s="34"/>
      <c r="H18" s="34"/>
      <c r="I18" s="34"/>
      <c r="J18" s="33"/>
    </row>
    <row r="19">
      <c r="A19" s="31" t="s">
        <v>106</v>
      </c>
      <c r="B19" s="32">
        <v>6.0</v>
      </c>
      <c r="C19" s="31" t="s">
        <v>28</v>
      </c>
      <c r="D19" s="32">
        <v>3.0</v>
      </c>
      <c r="E19" s="34"/>
      <c r="F19" s="34"/>
      <c r="G19" s="34"/>
      <c r="H19" s="34"/>
      <c r="I19" s="34"/>
      <c r="J19" s="33"/>
    </row>
    <row r="20">
      <c r="A20" s="31" t="s">
        <v>108</v>
      </c>
      <c r="B20" s="32">
        <v>6.0</v>
      </c>
      <c r="C20" s="31" t="s">
        <v>19</v>
      </c>
      <c r="D20" s="32">
        <v>1.0</v>
      </c>
      <c r="E20" s="16">
        <v>46230.0</v>
      </c>
      <c r="F20" s="11" t="s">
        <v>23</v>
      </c>
      <c r="G20" s="11">
        <v>97.9</v>
      </c>
      <c r="H20" s="11">
        <v>10.06</v>
      </c>
      <c r="I20" s="32">
        <v>7.74</v>
      </c>
      <c r="J20" s="33"/>
    </row>
    <row r="21">
      <c r="A21" s="31" t="s">
        <v>111</v>
      </c>
      <c r="B21" s="32">
        <v>6.0</v>
      </c>
      <c r="C21" s="31" t="s">
        <v>36</v>
      </c>
      <c r="D21" s="32">
        <v>1.0</v>
      </c>
      <c r="E21" s="16">
        <v>46230.0</v>
      </c>
      <c r="F21" s="11" t="s">
        <v>23</v>
      </c>
      <c r="G21" s="11">
        <v>97.9</v>
      </c>
      <c r="H21" s="11">
        <v>10.06</v>
      </c>
      <c r="I21" s="32">
        <v>7.69</v>
      </c>
      <c r="J21" s="33"/>
    </row>
    <row r="22">
      <c r="A22" s="31" t="s">
        <v>113</v>
      </c>
      <c r="B22" s="32">
        <v>6.0</v>
      </c>
      <c r="C22" s="31" t="s">
        <v>36</v>
      </c>
      <c r="D22" s="32">
        <v>2.0</v>
      </c>
      <c r="E22" s="34"/>
      <c r="F22" s="34"/>
      <c r="G22" s="34"/>
      <c r="H22" s="34"/>
      <c r="I22" s="34"/>
      <c r="J22" s="33"/>
    </row>
    <row r="23">
      <c r="A23" s="31" t="s">
        <v>114</v>
      </c>
      <c r="B23" s="32">
        <v>6.0</v>
      </c>
      <c r="C23" s="31" t="s">
        <v>36</v>
      </c>
      <c r="D23" s="32">
        <v>3.0</v>
      </c>
      <c r="E23" s="34"/>
      <c r="F23" s="34"/>
      <c r="G23" s="34"/>
      <c r="H23" s="34"/>
      <c r="I23" s="34"/>
      <c r="J23" s="33"/>
    </row>
    <row r="24">
      <c r="A24" s="9" t="s">
        <v>116</v>
      </c>
      <c r="B24" s="11">
        <v>7.0</v>
      </c>
      <c r="C24" s="9" t="s">
        <v>28</v>
      </c>
      <c r="D24" s="11">
        <v>1.0</v>
      </c>
      <c r="E24" s="16">
        <v>46230.0</v>
      </c>
      <c r="F24" s="11" t="s">
        <v>23</v>
      </c>
      <c r="G24" s="11">
        <v>97.9</v>
      </c>
      <c r="H24" s="11">
        <v>10.06</v>
      </c>
      <c r="I24" s="11">
        <v>7.8</v>
      </c>
      <c r="J24" s="22"/>
    </row>
    <row r="25">
      <c r="A25" s="9" t="s">
        <v>117</v>
      </c>
      <c r="B25" s="11">
        <v>7.0</v>
      </c>
      <c r="C25" s="9" t="s">
        <v>28</v>
      </c>
      <c r="D25" s="11">
        <v>2.0</v>
      </c>
      <c r="E25" s="30"/>
      <c r="F25" s="30"/>
      <c r="G25" s="30"/>
      <c r="H25" s="30"/>
      <c r="I25" s="30"/>
      <c r="J25" s="22"/>
    </row>
    <row r="26">
      <c r="A26" s="9" t="s">
        <v>120</v>
      </c>
      <c r="B26" s="11">
        <v>7.0</v>
      </c>
      <c r="C26" s="9" t="s">
        <v>28</v>
      </c>
      <c r="D26" s="11">
        <v>3.0</v>
      </c>
      <c r="E26" s="30"/>
      <c r="F26" s="30"/>
      <c r="G26" s="30"/>
      <c r="H26" s="30"/>
      <c r="I26" s="30"/>
      <c r="J26" s="22"/>
    </row>
    <row r="27">
      <c r="A27" s="9" t="s">
        <v>124</v>
      </c>
      <c r="B27" s="11">
        <v>7.0</v>
      </c>
      <c r="C27" s="9" t="s">
        <v>19</v>
      </c>
      <c r="D27" s="11">
        <v>1.0</v>
      </c>
      <c r="E27" s="16">
        <v>46230.0</v>
      </c>
      <c r="F27" s="11" t="s">
        <v>23</v>
      </c>
      <c r="G27" s="11">
        <v>97.9</v>
      </c>
      <c r="H27" s="11">
        <v>10.06</v>
      </c>
      <c r="I27" s="11">
        <v>7.84</v>
      </c>
      <c r="J27" s="22"/>
    </row>
    <row r="28">
      <c r="A28" s="9" t="s">
        <v>127</v>
      </c>
      <c r="B28" s="11">
        <v>7.0</v>
      </c>
      <c r="C28" s="9" t="s">
        <v>19</v>
      </c>
      <c r="D28" s="11">
        <v>2.0</v>
      </c>
      <c r="E28" s="30"/>
      <c r="F28" s="30"/>
      <c r="G28" s="30"/>
      <c r="H28" s="30"/>
      <c r="I28" s="30"/>
      <c r="J28" s="22"/>
    </row>
    <row r="29">
      <c r="A29" s="9" t="s">
        <v>130</v>
      </c>
      <c r="B29" s="11">
        <v>7.0</v>
      </c>
      <c r="C29" s="9" t="s">
        <v>19</v>
      </c>
      <c r="D29" s="11">
        <v>3.0</v>
      </c>
      <c r="E29" s="30"/>
      <c r="F29" s="30"/>
      <c r="G29" s="30"/>
      <c r="H29" s="30"/>
      <c r="I29" s="30"/>
      <c r="J29" s="22"/>
    </row>
    <row r="30">
      <c r="A30" s="9" t="s">
        <v>133</v>
      </c>
      <c r="B30" s="11">
        <v>7.0</v>
      </c>
      <c r="C30" s="9" t="s">
        <v>36</v>
      </c>
      <c r="D30" s="11">
        <v>1.0</v>
      </c>
      <c r="E30" s="16">
        <v>46230.0</v>
      </c>
      <c r="F30" s="11" t="s">
        <v>23</v>
      </c>
      <c r="G30" s="11">
        <v>97.9</v>
      </c>
      <c r="H30" s="11">
        <v>10.06</v>
      </c>
      <c r="I30" s="11">
        <v>7.81</v>
      </c>
      <c r="J30" s="22"/>
    </row>
    <row r="31">
      <c r="A31" s="9" t="s">
        <v>136</v>
      </c>
      <c r="B31" s="11">
        <v>7.0</v>
      </c>
      <c r="C31" s="9" t="s">
        <v>36</v>
      </c>
      <c r="D31" s="11">
        <v>2.0</v>
      </c>
      <c r="E31" s="30"/>
      <c r="F31" s="30"/>
      <c r="G31" s="30"/>
      <c r="H31" s="30"/>
      <c r="I31" s="30"/>
      <c r="J31" s="22"/>
    </row>
    <row r="32">
      <c r="A32" s="9" t="s">
        <v>139</v>
      </c>
      <c r="B32" s="11">
        <v>7.0</v>
      </c>
      <c r="C32" s="9" t="s">
        <v>36</v>
      </c>
      <c r="D32" s="11">
        <v>3.0</v>
      </c>
      <c r="E32" s="30"/>
      <c r="F32" s="30"/>
      <c r="G32" s="30"/>
      <c r="H32" s="30"/>
      <c r="I32" s="30"/>
      <c r="J32" s="22"/>
    </row>
    <row r="33">
      <c r="A33" s="31" t="s">
        <v>141</v>
      </c>
      <c r="B33" s="32">
        <v>8.0</v>
      </c>
      <c r="C33" s="31" t="s">
        <v>28</v>
      </c>
      <c r="D33" s="32">
        <v>1.0</v>
      </c>
      <c r="E33" s="37">
        <v>46363.0</v>
      </c>
      <c r="F33" s="32" t="s">
        <v>23</v>
      </c>
      <c r="G33" s="38">
        <v>100.0</v>
      </c>
      <c r="H33" s="42">
        <v>9.95</v>
      </c>
      <c r="I33" s="43">
        <v>7.39</v>
      </c>
      <c r="J33" s="33"/>
      <c r="N33" s="44"/>
      <c r="O33" s="44"/>
      <c r="P33" s="44"/>
      <c r="Q33" s="44"/>
    </row>
    <row r="34">
      <c r="A34" s="31" t="s">
        <v>146</v>
      </c>
      <c r="B34" s="32">
        <v>8.0</v>
      </c>
      <c r="C34" s="31" t="s">
        <v>28</v>
      </c>
      <c r="D34" s="32">
        <v>2.0</v>
      </c>
      <c r="E34" s="37">
        <v>46363.0</v>
      </c>
      <c r="F34" s="32" t="s">
        <v>23</v>
      </c>
      <c r="G34" s="38">
        <v>100.0</v>
      </c>
      <c r="H34" s="42">
        <v>9.95</v>
      </c>
      <c r="I34" s="45">
        <v>7.35</v>
      </c>
      <c r="J34" s="33"/>
      <c r="N34" s="44"/>
      <c r="O34" s="44"/>
      <c r="P34" s="44"/>
      <c r="Q34" s="44"/>
    </row>
    <row r="35">
      <c r="A35" s="31" t="s">
        <v>151</v>
      </c>
      <c r="B35" s="32">
        <v>8.0</v>
      </c>
      <c r="C35" s="31" t="s">
        <v>28</v>
      </c>
      <c r="D35" s="32">
        <v>3.0</v>
      </c>
      <c r="E35" s="37">
        <v>46363.0</v>
      </c>
      <c r="F35" s="32" t="s">
        <v>23</v>
      </c>
      <c r="G35" s="38">
        <v>100.0</v>
      </c>
      <c r="H35" s="42">
        <v>9.95</v>
      </c>
      <c r="I35" s="45">
        <v>7.35</v>
      </c>
      <c r="J35" s="33"/>
      <c r="N35" s="44"/>
      <c r="O35" s="44"/>
      <c r="P35" s="44"/>
      <c r="Q35" s="44"/>
    </row>
    <row r="36">
      <c r="A36" s="31" t="s">
        <v>156</v>
      </c>
      <c r="B36" s="32">
        <v>8.0</v>
      </c>
      <c r="C36" s="31" t="s">
        <v>19</v>
      </c>
      <c r="D36" s="32">
        <v>1.0</v>
      </c>
      <c r="E36" s="37">
        <v>46363.0</v>
      </c>
      <c r="F36" s="32" t="s">
        <v>23</v>
      </c>
      <c r="G36" s="38">
        <v>100.0</v>
      </c>
      <c r="H36" s="42">
        <v>9.95</v>
      </c>
      <c r="I36" s="42">
        <v>7.3</v>
      </c>
      <c r="J36" s="33"/>
    </row>
    <row r="37">
      <c r="A37" s="31" t="s">
        <v>163</v>
      </c>
      <c r="B37" s="32">
        <v>8.0</v>
      </c>
      <c r="C37" s="31" t="s">
        <v>19</v>
      </c>
      <c r="D37" s="32">
        <v>2.0</v>
      </c>
      <c r="E37" s="37">
        <v>46363.0</v>
      </c>
      <c r="F37" s="32" t="s">
        <v>23</v>
      </c>
      <c r="G37" s="38">
        <v>100.0</v>
      </c>
      <c r="H37" s="42">
        <v>9.95</v>
      </c>
      <c r="I37" s="42">
        <v>7.23</v>
      </c>
      <c r="J37" s="33"/>
    </row>
    <row r="38">
      <c r="A38" s="31" t="s">
        <v>168</v>
      </c>
      <c r="B38" s="32">
        <v>8.0</v>
      </c>
      <c r="C38" s="31" t="s">
        <v>19</v>
      </c>
      <c r="D38" s="32">
        <v>3.0</v>
      </c>
      <c r="E38" s="37">
        <v>46363.0</v>
      </c>
      <c r="F38" s="32" t="s">
        <v>23</v>
      </c>
      <c r="G38" s="38">
        <v>100.0</v>
      </c>
      <c r="H38" s="42">
        <v>9.95</v>
      </c>
      <c r="I38" s="42">
        <v>7.36</v>
      </c>
      <c r="J38" s="33"/>
    </row>
    <row r="39">
      <c r="A39" s="31" t="s">
        <v>172</v>
      </c>
      <c r="B39" s="32">
        <v>8.0</v>
      </c>
      <c r="C39" s="31" t="s">
        <v>36</v>
      </c>
      <c r="D39" s="32">
        <v>1.0</v>
      </c>
      <c r="E39" s="37">
        <v>46363.0</v>
      </c>
      <c r="F39" s="32" t="s">
        <v>23</v>
      </c>
      <c r="G39" s="38">
        <v>100.0</v>
      </c>
      <c r="H39" s="42">
        <v>9.95</v>
      </c>
      <c r="I39" s="42">
        <v>7.68</v>
      </c>
      <c r="J39" s="33"/>
    </row>
    <row r="40">
      <c r="A40" s="31" t="s">
        <v>175</v>
      </c>
      <c r="B40" s="32">
        <v>8.0</v>
      </c>
      <c r="C40" s="31" t="s">
        <v>36</v>
      </c>
      <c r="D40" s="32">
        <v>2.0</v>
      </c>
      <c r="E40" s="37">
        <v>46363.0</v>
      </c>
      <c r="F40" s="32" t="s">
        <v>23</v>
      </c>
      <c r="G40" s="38">
        <v>100.0</v>
      </c>
      <c r="H40" s="42">
        <v>9.95</v>
      </c>
      <c r="I40" s="42">
        <v>7.76</v>
      </c>
      <c r="J40" s="33"/>
    </row>
    <row r="41">
      <c r="A41" s="31" t="s">
        <v>178</v>
      </c>
      <c r="B41" s="32">
        <v>8.0</v>
      </c>
      <c r="C41" s="31" t="s">
        <v>36</v>
      </c>
      <c r="D41" s="32">
        <v>3.0</v>
      </c>
      <c r="E41" s="37">
        <v>46363.0</v>
      </c>
      <c r="F41" s="32" t="s">
        <v>23</v>
      </c>
      <c r="G41" s="38">
        <v>100.0</v>
      </c>
      <c r="H41" s="42">
        <v>9.95</v>
      </c>
      <c r="I41" s="42">
        <v>7.68</v>
      </c>
      <c r="J41" s="33"/>
    </row>
    <row r="42">
      <c r="A42" s="9" t="s">
        <v>182</v>
      </c>
      <c r="B42" s="11">
        <v>9.0</v>
      </c>
      <c r="C42" s="9" t="s">
        <v>28</v>
      </c>
      <c r="D42" s="11">
        <v>1.0</v>
      </c>
      <c r="E42" s="16">
        <v>46230.0</v>
      </c>
      <c r="F42" s="11" t="s">
        <v>23</v>
      </c>
      <c r="G42" s="11">
        <v>97.9</v>
      </c>
      <c r="H42" s="11">
        <v>10.06</v>
      </c>
      <c r="I42" s="11">
        <v>7.69</v>
      </c>
      <c r="J42" s="22"/>
    </row>
    <row r="43">
      <c r="A43" s="9" t="s">
        <v>188</v>
      </c>
      <c r="B43" s="11">
        <v>9.0</v>
      </c>
      <c r="C43" s="9" t="s">
        <v>28</v>
      </c>
      <c r="D43" s="11">
        <v>2.0</v>
      </c>
      <c r="E43" s="30"/>
      <c r="F43" s="30"/>
      <c r="G43" s="30"/>
      <c r="H43" s="30"/>
      <c r="I43" s="30"/>
      <c r="J43" s="22"/>
    </row>
    <row r="44">
      <c r="A44" s="9" t="s">
        <v>191</v>
      </c>
      <c r="B44" s="11">
        <v>9.0</v>
      </c>
      <c r="C44" s="9" t="s">
        <v>28</v>
      </c>
      <c r="D44" s="11">
        <v>3.0</v>
      </c>
      <c r="E44" s="30"/>
      <c r="F44" s="30"/>
      <c r="G44" s="30"/>
      <c r="H44" s="30"/>
      <c r="I44" s="30"/>
      <c r="J44" s="22"/>
    </row>
    <row r="45">
      <c r="A45" s="9" t="s">
        <v>194</v>
      </c>
      <c r="B45" s="11">
        <v>9.0</v>
      </c>
      <c r="C45" s="9" t="s">
        <v>19</v>
      </c>
      <c r="D45" s="11">
        <v>1.0</v>
      </c>
      <c r="E45" s="16">
        <v>46230.0</v>
      </c>
      <c r="F45" s="11" t="s">
        <v>23</v>
      </c>
      <c r="G45" s="11">
        <v>97.9</v>
      </c>
      <c r="H45" s="11">
        <v>10.06</v>
      </c>
      <c r="I45" s="11">
        <v>7.73</v>
      </c>
      <c r="J45" s="22"/>
    </row>
    <row r="46">
      <c r="A46" s="9" t="s">
        <v>198</v>
      </c>
      <c r="B46" s="11">
        <v>9.0</v>
      </c>
      <c r="C46" s="9" t="s">
        <v>19</v>
      </c>
      <c r="D46" s="11">
        <v>2.0</v>
      </c>
      <c r="E46" s="30"/>
      <c r="F46" s="30"/>
      <c r="G46" s="30"/>
      <c r="H46" s="30"/>
      <c r="I46" s="30"/>
      <c r="J46" s="22"/>
    </row>
    <row r="47">
      <c r="A47" s="9" t="s">
        <v>202</v>
      </c>
      <c r="B47" s="11">
        <v>9.0</v>
      </c>
      <c r="C47" s="9" t="s">
        <v>19</v>
      </c>
      <c r="D47" s="11">
        <v>3.0</v>
      </c>
      <c r="E47" s="30"/>
      <c r="F47" s="30"/>
      <c r="G47" s="30"/>
      <c r="H47" s="30"/>
      <c r="I47" s="30"/>
      <c r="J47" s="22"/>
    </row>
    <row r="48">
      <c r="A48" s="9" t="s">
        <v>206</v>
      </c>
      <c r="B48" s="11">
        <v>9.0</v>
      </c>
      <c r="C48" s="9" t="s">
        <v>36</v>
      </c>
      <c r="D48" s="11">
        <v>1.0</v>
      </c>
      <c r="E48" s="16">
        <v>46230.0</v>
      </c>
      <c r="F48" s="11" t="s">
        <v>23</v>
      </c>
      <c r="G48" s="11">
        <v>97.9</v>
      </c>
      <c r="H48" s="11">
        <v>10.06</v>
      </c>
      <c r="I48" s="11">
        <v>7.71</v>
      </c>
      <c r="J48" s="22"/>
    </row>
    <row r="49">
      <c r="A49" s="9" t="s">
        <v>212</v>
      </c>
      <c r="B49" s="11">
        <v>9.0</v>
      </c>
      <c r="C49" s="9" t="s">
        <v>36</v>
      </c>
      <c r="D49" s="11">
        <v>2.0</v>
      </c>
      <c r="E49" s="30"/>
      <c r="F49" s="30"/>
      <c r="G49" s="30"/>
      <c r="H49" s="30"/>
      <c r="I49" s="30"/>
      <c r="J49" s="22"/>
    </row>
    <row r="50">
      <c r="A50" s="9" t="s">
        <v>216</v>
      </c>
      <c r="B50" s="11">
        <v>9.0</v>
      </c>
      <c r="C50" s="9" t="s">
        <v>36</v>
      </c>
      <c r="D50" s="11">
        <v>3.0</v>
      </c>
      <c r="E50" s="30"/>
      <c r="F50" s="30"/>
      <c r="G50" s="30"/>
      <c r="H50" s="30"/>
      <c r="I50" s="30"/>
      <c r="J50" s="22"/>
    </row>
    <row r="51">
      <c r="A51" s="31" t="s">
        <v>220</v>
      </c>
      <c r="B51" s="32">
        <v>10.0</v>
      </c>
      <c r="C51" s="31" t="s">
        <v>28</v>
      </c>
      <c r="D51" s="32">
        <v>1.0</v>
      </c>
      <c r="E51" s="16">
        <v>46230.0</v>
      </c>
      <c r="F51" s="11" t="s">
        <v>23</v>
      </c>
      <c r="G51" s="11">
        <v>97.9</v>
      </c>
      <c r="H51" s="11">
        <v>10.06</v>
      </c>
      <c r="I51" s="32">
        <v>7.76</v>
      </c>
      <c r="J51" s="33"/>
    </row>
    <row r="52">
      <c r="A52" s="31" t="s">
        <v>223</v>
      </c>
      <c r="B52" s="32">
        <v>10.0</v>
      </c>
      <c r="C52" s="31" t="s">
        <v>28</v>
      </c>
      <c r="D52" s="32">
        <v>2.0</v>
      </c>
      <c r="E52" s="34"/>
      <c r="F52" s="34"/>
      <c r="G52" s="34"/>
      <c r="H52" s="34"/>
      <c r="I52" s="34"/>
      <c r="J52" s="33"/>
    </row>
    <row r="53">
      <c r="A53" s="31" t="s">
        <v>227</v>
      </c>
      <c r="B53" s="32">
        <v>10.0</v>
      </c>
      <c r="C53" s="31" t="s">
        <v>28</v>
      </c>
      <c r="D53" s="32">
        <v>3.0</v>
      </c>
      <c r="E53" s="34"/>
      <c r="F53" s="34"/>
      <c r="G53" s="34"/>
      <c r="H53" s="34"/>
      <c r="I53" s="34"/>
      <c r="J53" s="33"/>
    </row>
    <row r="54">
      <c r="A54" s="31" t="s">
        <v>230</v>
      </c>
      <c r="B54" s="32">
        <v>10.0</v>
      </c>
      <c r="C54" s="31" t="s">
        <v>19</v>
      </c>
      <c r="D54" s="32">
        <v>1.0</v>
      </c>
      <c r="E54" s="16">
        <v>46230.0</v>
      </c>
      <c r="F54" s="11" t="s">
        <v>23</v>
      </c>
      <c r="G54" s="11">
        <v>97.9</v>
      </c>
      <c r="H54" s="11">
        <v>10.06</v>
      </c>
      <c r="I54" s="32">
        <v>7.79</v>
      </c>
      <c r="J54" s="33"/>
    </row>
    <row r="55">
      <c r="A55" s="31" t="s">
        <v>235</v>
      </c>
      <c r="B55" s="32">
        <v>10.0</v>
      </c>
      <c r="C55" s="31" t="s">
        <v>19</v>
      </c>
      <c r="D55" s="32">
        <v>2.0</v>
      </c>
      <c r="E55" s="34"/>
      <c r="F55" s="34"/>
      <c r="G55" s="34"/>
      <c r="H55" s="34"/>
      <c r="I55" s="34"/>
      <c r="J55" s="33"/>
    </row>
    <row r="56">
      <c r="A56" s="31" t="s">
        <v>238</v>
      </c>
      <c r="B56" s="32">
        <v>10.0</v>
      </c>
      <c r="C56" s="31" t="s">
        <v>19</v>
      </c>
      <c r="D56" s="32">
        <v>3.0</v>
      </c>
      <c r="E56" s="34"/>
      <c r="F56" s="34"/>
      <c r="G56" s="34"/>
      <c r="H56" s="34"/>
      <c r="I56" s="34"/>
      <c r="J56" s="33"/>
    </row>
    <row r="57">
      <c r="A57" s="31" t="s">
        <v>243</v>
      </c>
      <c r="B57" s="32">
        <v>10.0</v>
      </c>
      <c r="C57" s="31" t="s">
        <v>36</v>
      </c>
      <c r="D57" s="32">
        <v>1.0</v>
      </c>
      <c r="E57" s="16">
        <v>46230.0</v>
      </c>
      <c r="F57" s="11" t="s">
        <v>23</v>
      </c>
      <c r="G57" s="11">
        <v>97.9</v>
      </c>
      <c r="H57" s="11">
        <v>10.06</v>
      </c>
      <c r="I57" s="32">
        <v>7.7</v>
      </c>
      <c r="J57" s="33"/>
    </row>
    <row r="58">
      <c r="A58" s="31" t="s">
        <v>247</v>
      </c>
      <c r="B58" s="32">
        <v>10.0</v>
      </c>
      <c r="C58" s="31" t="s">
        <v>36</v>
      </c>
      <c r="D58" s="32">
        <v>2.0</v>
      </c>
      <c r="E58" s="34"/>
      <c r="F58" s="34"/>
      <c r="G58" s="34"/>
      <c r="H58" s="34"/>
      <c r="I58" s="34"/>
      <c r="J58" s="33"/>
    </row>
    <row r="59">
      <c r="A59" s="9" t="s">
        <v>250</v>
      </c>
      <c r="B59" s="11">
        <v>11.0</v>
      </c>
      <c r="C59" s="9" t="s">
        <v>28</v>
      </c>
      <c r="D59" s="11">
        <v>1.0</v>
      </c>
      <c r="E59" s="16">
        <v>46230.0</v>
      </c>
      <c r="F59" s="11" t="s">
        <v>23</v>
      </c>
      <c r="G59" s="11">
        <v>97.9</v>
      </c>
      <c r="H59" s="11">
        <v>10.06</v>
      </c>
      <c r="I59" s="11">
        <v>7.61</v>
      </c>
      <c r="J59" s="22"/>
    </row>
    <row r="60">
      <c r="A60" s="9" t="s">
        <v>256</v>
      </c>
      <c r="B60" s="11">
        <v>11.0</v>
      </c>
      <c r="C60" s="9" t="s">
        <v>28</v>
      </c>
      <c r="D60" s="11">
        <v>2.0</v>
      </c>
      <c r="E60" s="30"/>
      <c r="F60" s="30"/>
      <c r="G60" s="30"/>
      <c r="H60" s="30"/>
      <c r="I60" s="30"/>
      <c r="J60" s="22"/>
    </row>
    <row r="61">
      <c r="A61" s="9" t="s">
        <v>260</v>
      </c>
      <c r="B61" s="11">
        <v>11.0</v>
      </c>
      <c r="C61" s="9" t="s">
        <v>28</v>
      </c>
      <c r="D61" s="11">
        <v>3.0</v>
      </c>
      <c r="E61" s="30"/>
      <c r="F61" s="30"/>
      <c r="G61" s="30"/>
      <c r="H61" s="30"/>
      <c r="I61" s="30"/>
      <c r="J61" s="22"/>
    </row>
    <row r="62">
      <c r="A62" s="9" t="s">
        <v>263</v>
      </c>
      <c r="B62" s="11">
        <v>11.0</v>
      </c>
      <c r="C62" s="9" t="s">
        <v>19</v>
      </c>
      <c r="D62" s="11">
        <v>1.0</v>
      </c>
      <c r="E62" s="16">
        <v>46230.0</v>
      </c>
      <c r="F62" s="11" t="s">
        <v>23</v>
      </c>
      <c r="G62" s="11">
        <v>97.9</v>
      </c>
      <c r="H62" s="11">
        <v>10.06</v>
      </c>
      <c r="I62" s="11">
        <v>7.69</v>
      </c>
      <c r="J62" s="22"/>
    </row>
    <row r="63">
      <c r="A63" s="9" t="s">
        <v>267</v>
      </c>
      <c r="B63" s="11">
        <v>11.0</v>
      </c>
      <c r="C63" s="9" t="s">
        <v>19</v>
      </c>
      <c r="D63" s="11">
        <v>2.0</v>
      </c>
      <c r="E63" s="30"/>
      <c r="F63" s="30"/>
      <c r="G63" s="30"/>
      <c r="H63" s="30"/>
      <c r="I63" s="30"/>
      <c r="J63" s="22"/>
    </row>
    <row r="64">
      <c r="A64" s="9" t="s">
        <v>272</v>
      </c>
      <c r="B64" s="11">
        <v>11.0</v>
      </c>
      <c r="C64" s="9" t="s">
        <v>19</v>
      </c>
      <c r="D64" s="11">
        <v>3.0</v>
      </c>
      <c r="E64" s="30"/>
      <c r="F64" s="30"/>
      <c r="G64" s="30"/>
      <c r="H64" s="30"/>
      <c r="I64" s="30"/>
      <c r="J64" s="22"/>
    </row>
    <row r="65">
      <c r="A65" s="9" t="s">
        <v>275</v>
      </c>
      <c r="B65" s="11">
        <v>11.0</v>
      </c>
      <c r="C65" s="9" t="s">
        <v>36</v>
      </c>
      <c r="D65" s="11">
        <v>1.0</v>
      </c>
      <c r="E65" s="16">
        <v>46230.0</v>
      </c>
      <c r="F65" s="11" t="s">
        <v>23</v>
      </c>
      <c r="G65" s="11">
        <v>97.9</v>
      </c>
      <c r="H65" s="11">
        <v>10.06</v>
      </c>
      <c r="I65" s="11">
        <v>7.65</v>
      </c>
      <c r="J65" s="22"/>
    </row>
    <row r="66">
      <c r="A66" s="9" t="s">
        <v>280</v>
      </c>
      <c r="B66" s="11">
        <v>11.0</v>
      </c>
      <c r="C66" s="9" t="s">
        <v>36</v>
      </c>
      <c r="D66" s="11">
        <v>2.0</v>
      </c>
      <c r="E66" s="30"/>
      <c r="F66" s="30"/>
      <c r="G66" s="30"/>
      <c r="H66" s="30"/>
      <c r="I66" s="30"/>
      <c r="J66" s="22"/>
    </row>
    <row r="67">
      <c r="A67" s="9" t="s">
        <v>284</v>
      </c>
      <c r="B67" s="11">
        <v>11.0</v>
      </c>
      <c r="C67" s="9" t="s">
        <v>36</v>
      </c>
      <c r="D67" s="11">
        <v>3.0</v>
      </c>
      <c r="E67" s="30"/>
      <c r="F67" s="30"/>
      <c r="G67" s="30"/>
      <c r="H67" s="30"/>
      <c r="I67" s="30"/>
      <c r="J67" s="22"/>
    </row>
    <row r="68">
      <c r="A68" s="31" t="s">
        <v>288</v>
      </c>
      <c r="B68" s="32">
        <v>12.0</v>
      </c>
      <c r="C68" s="31" t="s">
        <v>28</v>
      </c>
      <c r="D68" s="32">
        <v>2.0</v>
      </c>
      <c r="E68" s="32" t="s">
        <v>21</v>
      </c>
      <c r="F68" s="32" t="s">
        <v>23</v>
      </c>
      <c r="G68" s="32">
        <v>98.8</v>
      </c>
      <c r="H68" s="32">
        <v>10.06</v>
      </c>
      <c r="I68" s="47">
        <v>8.05</v>
      </c>
      <c r="J68" s="48"/>
    </row>
    <row r="69">
      <c r="A69" s="31" t="s">
        <v>294</v>
      </c>
      <c r="B69" s="32">
        <v>12.0</v>
      </c>
      <c r="C69" s="31" t="s">
        <v>28</v>
      </c>
      <c r="D69" s="32">
        <v>3.0</v>
      </c>
      <c r="E69" s="32" t="s">
        <v>21</v>
      </c>
      <c r="F69" s="32" t="s">
        <v>23</v>
      </c>
      <c r="G69" s="32">
        <v>98.8</v>
      </c>
      <c r="H69" s="32">
        <v>10.06</v>
      </c>
      <c r="I69" s="47">
        <v>8.0</v>
      </c>
      <c r="J69" s="48"/>
    </row>
    <row r="70">
      <c r="A70" s="31" t="s">
        <v>297</v>
      </c>
      <c r="B70" s="32">
        <v>12.0</v>
      </c>
      <c r="C70" s="31" t="s">
        <v>19</v>
      </c>
      <c r="D70" s="32">
        <v>1.0</v>
      </c>
      <c r="E70" s="32" t="s">
        <v>21</v>
      </c>
      <c r="F70" s="32" t="s">
        <v>23</v>
      </c>
      <c r="G70" s="32">
        <v>98.8</v>
      </c>
      <c r="H70" s="32">
        <v>10.06</v>
      </c>
      <c r="I70" s="32">
        <v>8.11</v>
      </c>
      <c r="J70" s="33"/>
    </row>
    <row r="71">
      <c r="A71" s="31" t="s">
        <v>301</v>
      </c>
      <c r="B71" s="32">
        <v>12.0</v>
      </c>
      <c r="C71" s="31" t="s">
        <v>19</v>
      </c>
      <c r="D71" s="32">
        <v>2.0</v>
      </c>
      <c r="E71" s="32" t="s">
        <v>21</v>
      </c>
      <c r="F71" s="32" t="s">
        <v>23</v>
      </c>
      <c r="G71" s="32">
        <v>98.8</v>
      </c>
      <c r="H71" s="32">
        <v>10.06</v>
      </c>
      <c r="I71" s="32">
        <v>7.97</v>
      </c>
      <c r="J71" s="33"/>
    </row>
    <row r="72">
      <c r="A72" s="31" t="s">
        <v>305</v>
      </c>
      <c r="B72" s="32">
        <v>12.0</v>
      </c>
      <c r="C72" s="31" t="s">
        <v>36</v>
      </c>
      <c r="D72" s="32">
        <v>1.0</v>
      </c>
      <c r="E72" s="32" t="s">
        <v>21</v>
      </c>
      <c r="F72" s="32" t="s">
        <v>23</v>
      </c>
      <c r="G72" s="32">
        <v>98.8</v>
      </c>
      <c r="H72" s="32">
        <v>10.06</v>
      </c>
      <c r="I72" s="32">
        <v>8.1</v>
      </c>
      <c r="J72" s="33"/>
    </row>
    <row r="73">
      <c r="A73" s="31" t="s">
        <v>308</v>
      </c>
      <c r="B73" s="32">
        <v>12.0</v>
      </c>
      <c r="C73" s="31" t="s">
        <v>36</v>
      </c>
      <c r="D73" s="32">
        <v>2.0</v>
      </c>
      <c r="E73" s="32" t="s">
        <v>21</v>
      </c>
      <c r="F73" s="32" t="s">
        <v>23</v>
      </c>
      <c r="G73" s="32">
        <v>98.8</v>
      </c>
      <c r="H73" s="32">
        <v>10.06</v>
      </c>
      <c r="I73" s="32">
        <v>8.07</v>
      </c>
      <c r="J73" s="33"/>
    </row>
    <row r="74">
      <c r="A74" s="31" t="s">
        <v>313</v>
      </c>
      <c r="B74" s="32">
        <v>12.0</v>
      </c>
      <c r="C74" s="31" t="s">
        <v>36</v>
      </c>
      <c r="D74" s="32">
        <v>3.0</v>
      </c>
      <c r="E74" s="32" t="s">
        <v>21</v>
      </c>
      <c r="F74" s="32" t="s">
        <v>23</v>
      </c>
      <c r="G74" s="32">
        <v>98.8</v>
      </c>
      <c r="H74" s="32">
        <v>10.06</v>
      </c>
      <c r="I74" s="32">
        <v>8.11</v>
      </c>
      <c r="J74" s="33"/>
    </row>
    <row r="75">
      <c r="A75" s="9" t="s">
        <v>317</v>
      </c>
      <c r="B75" s="11">
        <v>13.0</v>
      </c>
      <c r="C75" s="9" t="s">
        <v>28</v>
      </c>
      <c r="D75" s="11">
        <v>1.0</v>
      </c>
      <c r="E75" s="16">
        <v>46230.0</v>
      </c>
      <c r="F75" s="11" t="s">
        <v>23</v>
      </c>
      <c r="G75" s="11">
        <v>97.9</v>
      </c>
      <c r="H75" s="11">
        <v>10.06</v>
      </c>
      <c r="I75" s="11">
        <v>7.88</v>
      </c>
      <c r="J75" s="22"/>
    </row>
    <row r="76">
      <c r="A76" s="9" t="s">
        <v>321</v>
      </c>
      <c r="B76" s="11">
        <v>13.0</v>
      </c>
      <c r="C76" s="9" t="s">
        <v>28</v>
      </c>
      <c r="D76" s="11">
        <v>2.0</v>
      </c>
      <c r="E76" s="30"/>
      <c r="F76" s="30"/>
      <c r="G76" s="30"/>
      <c r="H76" s="30"/>
      <c r="I76" s="30"/>
      <c r="J76" s="22"/>
    </row>
    <row r="77">
      <c r="A77" s="9" t="s">
        <v>324</v>
      </c>
      <c r="B77" s="11">
        <v>13.0</v>
      </c>
      <c r="C77" s="9" t="s">
        <v>28</v>
      </c>
      <c r="D77" s="11">
        <v>3.0</v>
      </c>
      <c r="E77" s="30"/>
      <c r="F77" s="30"/>
      <c r="G77" s="30"/>
      <c r="H77" s="30"/>
      <c r="I77" s="30"/>
      <c r="J77" s="22"/>
      <c r="M77" s="49"/>
    </row>
    <row r="78">
      <c r="A78" s="9" t="s">
        <v>328</v>
      </c>
      <c r="B78" s="11">
        <v>13.0</v>
      </c>
      <c r="C78" s="9" t="s">
        <v>19</v>
      </c>
      <c r="D78" s="11">
        <v>1.0</v>
      </c>
      <c r="E78" s="16">
        <v>46230.0</v>
      </c>
      <c r="F78" s="11" t="s">
        <v>23</v>
      </c>
      <c r="G78" s="11">
        <v>97.9</v>
      </c>
      <c r="H78" s="11">
        <v>10.06</v>
      </c>
      <c r="I78" s="11">
        <v>7.9</v>
      </c>
      <c r="J78" s="22"/>
      <c r="M78" s="49"/>
    </row>
    <row r="79">
      <c r="A79" s="9" t="s">
        <v>333</v>
      </c>
      <c r="B79" s="11">
        <v>13.0</v>
      </c>
      <c r="C79" s="9" t="s">
        <v>19</v>
      </c>
      <c r="D79" s="11">
        <v>2.0</v>
      </c>
      <c r="E79" s="30"/>
      <c r="F79" s="30"/>
      <c r="G79" s="30"/>
      <c r="H79" s="30"/>
      <c r="I79" s="30"/>
      <c r="J79" s="22"/>
      <c r="M79" s="49"/>
    </row>
    <row r="80">
      <c r="A80" s="9" t="s">
        <v>337</v>
      </c>
      <c r="B80" s="11">
        <v>13.0</v>
      </c>
      <c r="C80" s="9" t="s">
        <v>19</v>
      </c>
      <c r="D80" s="11">
        <v>3.0</v>
      </c>
      <c r="E80" s="30"/>
      <c r="F80" s="30"/>
      <c r="G80" s="30"/>
      <c r="H80" s="30"/>
      <c r="I80" s="30"/>
      <c r="J80" s="22"/>
    </row>
    <row r="81">
      <c r="A81" s="9" t="s">
        <v>340</v>
      </c>
      <c r="B81" s="11">
        <v>13.0</v>
      </c>
      <c r="C81" s="9" t="s">
        <v>36</v>
      </c>
      <c r="D81" s="11">
        <v>1.0</v>
      </c>
      <c r="E81" s="16">
        <v>46230.0</v>
      </c>
      <c r="F81" s="11" t="s">
        <v>23</v>
      </c>
      <c r="G81" s="11">
        <v>97.9</v>
      </c>
      <c r="H81" s="11">
        <v>10.06</v>
      </c>
      <c r="I81" s="11">
        <v>7.86</v>
      </c>
      <c r="J81" s="22"/>
    </row>
    <row r="82">
      <c r="A82" s="9" t="s">
        <v>345</v>
      </c>
      <c r="B82" s="11">
        <v>13.0</v>
      </c>
      <c r="C82" s="9" t="s">
        <v>36</v>
      </c>
      <c r="D82" s="11">
        <v>2.0</v>
      </c>
      <c r="E82" s="30"/>
      <c r="F82" s="30"/>
      <c r="G82" s="30"/>
      <c r="H82" s="30"/>
      <c r="I82" s="30"/>
      <c r="J82" s="22"/>
    </row>
    <row r="83">
      <c r="A83" s="9" t="s">
        <v>349</v>
      </c>
      <c r="B83" s="11">
        <v>13.0</v>
      </c>
      <c r="C83" s="9" t="s">
        <v>36</v>
      </c>
      <c r="D83" s="11">
        <v>3.0</v>
      </c>
      <c r="E83" s="30"/>
      <c r="F83" s="30"/>
      <c r="G83" s="30"/>
      <c r="H83" s="30"/>
      <c r="I83" s="30"/>
      <c r="J83" s="22"/>
    </row>
    <row r="84">
      <c r="A84" s="31" t="s">
        <v>352</v>
      </c>
      <c r="B84" s="32">
        <v>14.0</v>
      </c>
      <c r="C84" s="31" t="s">
        <v>28</v>
      </c>
      <c r="D84" s="32">
        <v>1.0</v>
      </c>
      <c r="E84" s="16">
        <v>46230.0</v>
      </c>
      <c r="F84" s="11" t="s">
        <v>23</v>
      </c>
      <c r="G84" s="11">
        <v>97.9</v>
      </c>
      <c r="H84" s="11">
        <v>10.06</v>
      </c>
      <c r="I84" s="32">
        <v>7.97</v>
      </c>
      <c r="J84" s="33"/>
    </row>
    <row r="85">
      <c r="A85" s="31" t="s">
        <v>356</v>
      </c>
      <c r="B85" s="32">
        <v>14.0</v>
      </c>
      <c r="C85" s="31" t="s">
        <v>28</v>
      </c>
      <c r="D85" s="32">
        <v>2.0</v>
      </c>
      <c r="E85" s="34"/>
      <c r="F85" s="34"/>
      <c r="G85" s="34"/>
      <c r="H85" s="34"/>
      <c r="I85" s="34"/>
      <c r="J85" s="33"/>
    </row>
    <row r="86">
      <c r="A86" s="31" t="s">
        <v>360</v>
      </c>
      <c r="B86" s="32">
        <v>14.0</v>
      </c>
      <c r="C86" s="31" t="s">
        <v>28</v>
      </c>
      <c r="D86" s="32">
        <v>3.0</v>
      </c>
      <c r="E86" s="34"/>
      <c r="F86" s="34"/>
      <c r="G86" s="34"/>
      <c r="H86" s="34"/>
      <c r="I86" s="34"/>
      <c r="J86" s="33"/>
    </row>
    <row r="87">
      <c r="A87" s="31" t="s">
        <v>363</v>
      </c>
      <c r="B87" s="32">
        <v>14.0</v>
      </c>
      <c r="C87" s="31" t="s">
        <v>19</v>
      </c>
      <c r="D87" s="32">
        <v>1.0</v>
      </c>
      <c r="E87" s="16">
        <v>46230.0</v>
      </c>
      <c r="F87" s="11" t="s">
        <v>23</v>
      </c>
      <c r="G87" s="11">
        <v>97.9</v>
      </c>
      <c r="H87" s="11">
        <v>10.06</v>
      </c>
      <c r="I87" s="32">
        <v>8.01</v>
      </c>
      <c r="J87" s="33"/>
    </row>
    <row r="88">
      <c r="A88" s="31" t="s">
        <v>367</v>
      </c>
      <c r="B88" s="32">
        <v>14.0</v>
      </c>
      <c r="C88" s="31" t="s">
        <v>19</v>
      </c>
      <c r="D88" s="32">
        <v>2.0</v>
      </c>
      <c r="E88" s="34"/>
      <c r="F88" s="34"/>
      <c r="G88" s="34"/>
      <c r="H88" s="34"/>
      <c r="I88" s="34"/>
      <c r="J88" s="33"/>
    </row>
    <row r="89">
      <c r="A89" s="31" t="s">
        <v>372</v>
      </c>
      <c r="B89" s="32">
        <v>14.0</v>
      </c>
      <c r="C89" s="31" t="s">
        <v>19</v>
      </c>
      <c r="D89" s="32">
        <v>3.0</v>
      </c>
      <c r="E89" s="34"/>
      <c r="F89" s="34"/>
      <c r="G89" s="34"/>
      <c r="H89" s="34"/>
      <c r="I89" s="34"/>
      <c r="J89" s="33"/>
    </row>
    <row r="90">
      <c r="A90" s="31" t="s">
        <v>375</v>
      </c>
      <c r="B90" s="32">
        <v>14.0</v>
      </c>
      <c r="C90" s="31" t="s">
        <v>36</v>
      </c>
      <c r="D90" s="32">
        <v>1.0</v>
      </c>
      <c r="E90" s="16">
        <v>46230.0</v>
      </c>
      <c r="F90" s="11" t="s">
        <v>23</v>
      </c>
      <c r="G90" s="11">
        <v>97.9</v>
      </c>
      <c r="H90" s="11">
        <v>10.06</v>
      </c>
      <c r="I90" s="32">
        <v>7.94</v>
      </c>
      <c r="J90" s="33"/>
    </row>
    <row r="91">
      <c r="A91" s="31" t="s">
        <v>378</v>
      </c>
      <c r="B91" s="32">
        <v>14.0</v>
      </c>
      <c r="C91" s="31" t="s">
        <v>36</v>
      </c>
      <c r="D91" s="32">
        <v>2.0</v>
      </c>
      <c r="E91" s="34"/>
      <c r="F91" s="34"/>
      <c r="G91" s="34"/>
      <c r="H91" s="34"/>
      <c r="I91" s="34"/>
      <c r="J91" s="33"/>
      <c r="M91" s="49"/>
    </row>
    <row r="92">
      <c r="A92" s="31" t="s">
        <v>383</v>
      </c>
      <c r="B92" s="32">
        <v>14.0</v>
      </c>
      <c r="C92" s="31" t="s">
        <v>36</v>
      </c>
      <c r="D92" s="32">
        <v>3.0</v>
      </c>
      <c r="E92" s="34"/>
      <c r="F92" s="34"/>
      <c r="G92" s="34"/>
      <c r="H92" s="34"/>
      <c r="I92" s="34"/>
      <c r="J92" s="33"/>
      <c r="M92" s="49"/>
    </row>
    <row r="93">
      <c r="A93" s="9" t="s">
        <v>387</v>
      </c>
      <c r="B93" s="11">
        <v>15.0</v>
      </c>
      <c r="C93" s="9" t="s">
        <v>28</v>
      </c>
      <c r="D93" s="11">
        <v>1.0</v>
      </c>
      <c r="E93" s="16">
        <v>46230.0</v>
      </c>
      <c r="F93" s="11" t="s">
        <v>23</v>
      </c>
      <c r="G93" s="11">
        <v>97.9</v>
      </c>
      <c r="H93" s="11">
        <v>10.06</v>
      </c>
      <c r="I93" s="11">
        <v>8.0</v>
      </c>
      <c r="J93" s="22"/>
      <c r="M93" s="49"/>
    </row>
    <row r="94">
      <c r="A94" s="9" t="s">
        <v>393</v>
      </c>
      <c r="B94" s="11">
        <v>15.0</v>
      </c>
      <c r="C94" s="9" t="s">
        <v>28</v>
      </c>
      <c r="D94" s="11">
        <v>2.0</v>
      </c>
      <c r="E94" s="16"/>
      <c r="F94" s="11"/>
      <c r="G94" s="11"/>
      <c r="H94" s="11"/>
      <c r="I94" s="30"/>
      <c r="J94" s="22"/>
    </row>
    <row r="95">
      <c r="A95" s="9" t="s">
        <v>398</v>
      </c>
      <c r="B95" s="11">
        <v>15.0</v>
      </c>
      <c r="C95" s="9" t="s">
        <v>28</v>
      </c>
      <c r="D95" s="11">
        <v>3.0</v>
      </c>
      <c r="E95" s="30"/>
      <c r="F95" s="30"/>
      <c r="G95" s="30"/>
      <c r="H95" s="30"/>
      <c r="I95" s="30"/>
      <c r="J95" s="22"/>
    </row>
    <row r="96">
      <c r="A96" s="9" t="s">
        <v>401</v>
      </c>
      <c r="B96" s="11">
        <v>15.0</v>
      </c>
      <c r="C96" s="9" t="s">
        <v>19</v>
      </c>
      <c r="D96" s="11">
        <v>1.0</v>
      </c>
      <c r="E96" s="16">
        <v>46230.0</v>
      </c>
      <c r="F96" s="11" t="s">
        <v>23</v>
      </c>
      <c r="G96" s="11">
        <v>97.9</v>
      </c>
      <c r="H96" s="11">
        <v>10.06</v>
      </c>
      <c r="I96" s="11">
        <v>8.02</v>
      </c>
      <c r="J96" s="22"/>
    </row>
    <row r="97">
      <c r="A97" s="9" t="s">
        <v>405</v>
      </c>
      <c r="B97" s="11">
        <v>15.0</v>
      </c>
      <c r="C97" s="9" t="s">
        <v>19</v>
      </c>
      <c r="D97" s="11">
        <v>2.0</v>
      </c>
      <c r="E97" s="30"/>
      <c r="F97" s="30"/>
      <c r="G97" s="30"/>
      <c r="H97" s="30"/>
      <c r="I97" s="30"/>
      <c r="J97" s="22"/>
    </row>
    <row r="98">
      <c r="A98" s="9" t="s">
        <v>409</v>
      </c>
      <c r="B98" s="11">
        <v>15.0</v>
      </c>
      <c r="C98" s="9" t="s">
        <v>19</v>
      </c>
      <c r="D98" s="11">
        <v>3.0</v>
      </c>
      <c r="E98" s="30"/>
      <c r="F98" s="30"/>
      <c r="G98" s="30"/>
      <c r="H98" s="30"/>
      <c r="I98" s="30"/>
      <c r="J98" s="22"/>
    </row>
    <row r="99">
      <c r="A99" s="9" t="s">
        <v>412</v>
      </c>
      <c r="B99" s="11">
        <v>15.0</v>
      </c>
      <c r="C99" s="9" t="s">
        <v>36</v>
      </c>
      <c r="D99" s="11">
        <v>1.0</v>
      </c>
      <c r="E99" s="16">
        <v>46230.0</v>
      </c>
      <c r="F99" s="11" t="s">
        <v>23</v>
      </c>
      <c r="G99" s="11">
        <v>97.9</v>
      </c>
      <c r="H99" s="11">
        <v>10.06</v>
      </c>
      <c r="I99" s="11">
        <v>7.79</v>
      </c>
      <c r="J99" s="22"/>
    </row>
    <row r="100">
      <c r="A100" s="9" t="s">
        <v>416</v>
      </c>
      <c r="B100" s="11">
        <v>15.0</v>
      </c>
      <c r="C100" s="9" t="s">
        <v>36</v>
      </c>
      <c r="D100" s="11">
        <v>2.0</v>
      </c>
      <c r="E100" s="30"/>
      <c r="F100" s="30"/>
      <c r="G100" s="30"/>
      <c r="H100" s="30"/>
      <c r="I100" s="30"/>
      <c r="J100" s="22"/>
    </row>
    <row r="101">
      <c r="A101" s="9" t="s">
        <v>420</v>
      </c>
      <c r="B101" s="11">
        <v>15.0</v>
      </c>
      <c r="C101" s="9" t="s">
        <v>36</v>
      </c>
      <c r="D101" s="11">
        <v>3.0</v>
      </c>
      <c r="E101" s="30"/>
      <c r="F101" s="30"/>
      <c r="G101" s="30"/>
      <c r="H101" s="30"/>
      <c r="I101" s="30"/>
      <c r="J101" s="22"/>
    </row>
    <row r="102">
      <c r="A102" s="31" t="s">
        <v>423</v>
      </c>
      <c r="B102" s="32">
        <v>16.0</v>
      </c>
      <c r="C102" s="31" t="s">
        <v>28</v>
      </c>
      <c r="D102" s="32">
        <v>1.0</v>
      </c>
      <c r="E102" s="16">
        <v>46230.0</v>
      </c>
      <c r="F102" s="11" t="s">
        <v>23</v>
      </c>
      <c r="G102" s="11">
        <v>97.9</v>
      </c>
      <c r="H102" s="11">
        <v>10.06</v>
      </c>
      <c r="I102" s="32">
        <v>7.96</v>
      </c>
      <c r="J102" s="33"/>
    </row>
    <row r="103">
      <c r="A103" s="31" t="s">
        <v>426</v>
      </c>
      <c r="B103" s="32">
        <v>16.0</v>
      </c>
      <c r="C103" s="31" t="s">
        <v>28</v>
      </c>
      <c r="D103" s="32">
        <v>2.0</v>
      </c>
      <c r="E103" s="34"/>
      <c r="F103" s="34"/>
      <c r="G103" s="34"/>
      <c r="H103" s="34"/>
      <c r="I103" s="34"/>
      <c r="J103" s="33"/>
    </row>
    <row r="104">
      <c r="A104" s="31" t="s">
        <v>429</v>
      </c>
      <c r="B104" s="32">
        <v>16.0</v>
      </c>
      <c r="C104" s="31" t="s">
        <v>28</v>
      </c>
      <c r="D104" s="32">
        <v>3.0</v>
      </c>
      <c r="E104" s="34"/>
      <c r="F104" s="34"/>
      <c r="G104" s="34"/>
      <c r="H104" s="34"/>
      <c r="I104" s="34"/>
      <c r="J104" s="33"/>
    </row>
    <row r="105">
      <c r="A105" s="31" t="s">
        <v>433</v>
      </c>
      <c r="B105" s="32">
        <v>16.0</v>
      </c>
      <c r="C105" s="31" t="s">
        <v>19</v>
      </c>
      <c r="D105" s="32">
        <v>1.0</v>
      </c>
      <c r="E105" s="16">
        <v>46230.0</v>
      </c>
      <c r="F105" s="11" t="s">
        <v>23</v>
      </c>
      <c r="G105" s="11">
        <v>97.9</v>
      </c>
      <c r="H105" s="11">
        <v>10.06</v>
      </c>
      <c r="I105" s="32">
        <v>7.8</v>
      </c>
      <c r="J105" s="33"/>
    </row>
    <row r="106">
      <c r="A106" s="31" t="s">
        <v>436</v>
      </c>
      <c r="B106" s="32">
        <v>16.0</v>
      </c>
      <c r="C106" s="31" t="s">
        <v>19</v>
      </c>
      <c r="D106" s="32">
        <v>2.0</v>
      </c>
      <c r="E106" s="34"/>
      <c r="F106" s="34"/>
      <c r="G106" s="34"/>
      <c r="H106" s="34"/>
      <c r="I106" s="34"/>
      <c r="J106" s="33"/>
    </row>
    <row r="107">
      <c r="A107" s="31" t="s">
        <v>440</v>
      </c>
      <c r="B107" s="32">
        <v>16.0</v>
      </c>
      <c r="C107" s="31" t="s">
        <v>19</v>
      </c>
      <c r="D107" s="32">
        <v>3.0</v>
      </c>
      <c r="E107" s="34"/>
      <c r="F107" s="34"/>
      <c r="G107" s="34"/>
      <c r="H107" s="34"/>
      <c r="I107" s="34"/>
      <c r="J107" s="33"/>
    </row>
    <row r="108">
      <c r="A108" s="31" t="s">
        <v>444</v>
      </c>
      <c r="B108" s="32">
        <v>16.0</v>
      </c>
      <c r="C108" s="31" t="s">
        <v>36</v>
      </c>
      <c r="D108" s="32">
        <v>1.0</v>
      </c>
      <c r="E108" s="16">
        <v>46230.0</v>
      </c>
      <c r="F108" s="11" t="s">
        <v>23</v>
      </c>
      <c r="G108" s="11">
        <v>97.9</v>
      </c>
      <c r="H108" s="11">
        <v>10.06</v>
      </c>
      <c r="I108" s="32">
        <v>7.89</v>
      </c>
      <c r="J108" s="33"/>
    </row>
    <row r="109">
      <c r="A109" s="31" t="s">
        <v>447</v>
      </c>
      <c r="B109" s="32">
        <v>16.0</v>
      </c>
      <c r="C109" s="31" t="s">
        <v>36</v>
      </c>
      <c r="D109" s="32">
        <v>2.0</v>
      </c>
      <c r="E109" s="34"/>
      <c r="F109" s="34"/>
      <c r="G109" s="34"/>
      <c r="H109" s="34"/>
      <c r="I109" s="34"/>
      <c r="J109" s="33"/>
    </row>
    <row r="110">
      <c r="A110" s="31" t="s">
        <v>451</v>
      </c>
      <c r="B110" s="32">
        <v>16.0</v>
      </c>
      <c r="C110" s="31" t="s">
        <v>36</v>
      </c>
      <c r="D110" s="32">
        <v>3.0</v>
      </c>
      <c r="E110" s="34"/>
      <c r="F110" s="34"/>
      <c r="G110" s="34"/>
      <c r="H110" s="34"/>
      <c r="I110" s="34"/>
      <c r="J110" s="33"/>
    </row>
    <row r="111">
      <c r="A111" s="9" t="s">
        <v>455</v>
      </c>
      <c r="B111" s="11">
        <v>17.0</v>
      </c>
      <c r="C111" s="9" t="s">
        <v>28</v>
      </c>
      <c r="D111" s="11">
        <v>1.0</v>
      </c>
      <c r="E111" s="16">
        <v>46230.0</v>
      </c>
      <c r="F111" s="11" t="s">
        <v>23</v>
      </c>
      <c r="G111" s="11">
        <v>97.9</v>
      </c>
      <c r="H111" s="11">
        <v>10.06</v>
      </c>
      <c r="I111" s="11">
        <v>7.6</v>
      </c>
      <c r="J111" s="22"/>
    </row>
    <row r="112">
      <c r="A112" s="9" t="s">
        <v>458</v>
      </c>
      <c r="B112" s="11">
        <v>17.0</v>
      </c>
      <c r="C112" s="9" t="s">
        <v>28</v>
      </c>
      <c r="D112" s="11">
        <v>2.0</v>
      </c>
      <c r="E112" s="30"/>
      <c r="F112" s="30"/>
      <c r="G112" s="30"/>
      <c r="H112" s="30"/>
      <c r="I112" s="30"/>
      <c r="J112" s="22"/>
    </row>
    <row r="113">
      <c r="A113" s="9" t="s">
        <v>461</v>
      </c>
      <c r="B113" s="11">
        <v>17.0</v>
      </c>
      <c r="C113" s="9" t="s">
        <v>28</v>
      </c>
      <c r="D113" s="11">
        <v>3.0</v>
      </c>
      <c r="E113" s="30"/>
      <c r="F113" s="30"/>
      <c r="G113" s="30"/>
      <c r="H113" s="30"/>
      <c r="I113" s="30"/>
      <c r="J113" s="22"/>
    </row>
    <row r="114">
      <c r="A114" s="9" t="s">
        <v>467</v>
      </c>
      <c r="B114" s="11">
        <v>17.0</v>
      </c>
      <c r="C114" s="9" t="s">
        <v>19</v>
      </c>
      <c r="D114" s="11">
        <v>1.0</v>
      </c>
      <c r="E114" s="16">
        <v>46230.0</v>
      </c>
      <c r="F114" s="11" t="s">
        <v>23</v>
      </c>
      <c r="G114" s="11">
        <v>97.9</v>
      </c>
      <c r="H114" s="11">
        <v>10.06</v>
      </c>
      <c r="I114" s="11">
        <v>7.63</v>
      </c>
      <c r="J114" s="22"/>
    </row>
    <row r="115">
      <c r="A115" s="9" t="s">
        <v>471</v>
      </c>
      <c r="B115" s="11">
        <v>17.0</v>
      </c>
      <c r="C115" s="9" t="s">
        <v>19</v>
      </c>
      <c r="D115" s="11">
        <v>2.0</v>
      </c>
      <c r="E115" s="30"/>
      <c r="F115" s="30"/>
      <c r="G115" s="30"/>
      <c r="H115" s="30"/>
      <c r="I115" s="30"/>
      <c r="J115" s="22"/>
    </row>
    <row r="116">
      <c r="A116" s="9" t="s">
        <v>475</v>
      </c>
      <c r="B116" s="11">
        <v>17.0</v>
      </c>
      <c r="C116" s="9" t="s">
        <v>19</v>
      </c>
      <c r="D116" s="11">
        <v>3.0</v>
      </c>
      <c r="E116" s="30"/>
      <c r="F116" s="30"/>
      <c r="G116" s="30"/>
      <c r="H116" s="30"/>
      <c r="I116" s="30"/>
      <c r="J116" s="22"/>
    </row>
    <row r="117">
      <c r="A117" s="9" t="s">
        <v>482</v>
      </c>
      <c r="B117" s="11">
        <v>17.0</v>
      </c>
      <c r="C117" s="9" t="s">
        <v>36</v>
      </c>
      <c r="D117" s="11">
        <v>1.0</v>
      </c>
      <c r="E117" s="16">
        <v>46230.0</v>
      </c>
      <c r="F117" s="11" t="s">
        <v>23</v>
      </c>
      <c r="G117" s="11">
        <v>97.9</v>
      </c>
      <c r="H117" s="11">
        <v>10.06</v>
      </c>
      <c r="I117" s="11">
        <v>7.58</v>
      </c>
      <c r="J117" s="22"/>
    </row>
    <row r="118">
      <c r="A118" s="9" t="s">
        <v>487</v>
      </c>
      <c r="B118" s="11">
        <v>17.0</v>
      </c>
      <c r="C118" s="9" t="s">
        <v>36</v>
      </c>
      <c r="D118" s="11">
        <v>2.0</v>
      </c>
      <c r="E118" s="30"/>
      <c r="F118" s="30"/>
      <c r="G118" s="30"/>
      <c r="H118" s="30"/>
      <c r="I118" s="30"/>
      <c r="J118" s="22"/>
    </row>
    <row r="119">
      <c r="A119" s="9" t="s">
        <v>491</v>
      </c>
      <c r="B119" s="11">
        <v>17.0</v>
      </c>
      <c r="C119" s="9" t="s">
        <v>36</v>
      </c>
      <c r="D119" s="11">
        <v>3.0</v>
      </c>
      <c r="E119" s="30"/>
      <c r="F119" s="30"/>
      <c r="G119" s="30"/>
      <c r="H119" s="30"/>
      <c r="I119" s="30"/>
      <c r="J119" s="22"/>
    </row>
    <row r="120">
      <c r="A120" s="31" t="s">
        <v>495</v>
      </c>
      <c r="B120" s="32">
        <v>18.0</v>
      </c>
      <c r="C120" s="31" t="s">
        <v>28</v>
      </c>
      <c r="D120" s="32">
        <v>1.0</v>
      </c>
      <c r="E120" s="37">
        <v>46363.0</v>
      </c>
      <c r="F120" s="32" t="s">
        <v>23</v>
      </c>
      <c r="G120" s="38">
        <v>100.0</v>
      </c>
      <c r="H120" s="42">
        <v>9.95</v>
      </c>
      <c r="I120" s="42">
        <v>7.96</v>
      </c>
      <c r="J120" s="33"/>
    </row>
    <row r="121">
      <c r="A121" s="31" t="s">
        <v>499</v>
      </c>
      <c r="B121" s="32">
        <v>18.0</v>
      </c>
      <c r="C121" s="31" t="s">
        <v>28</v>
      </c>
      <c r="D121" s="32">
        <v>2.0</v>
      </c>
      <c r="E121" s="37">
        <v>46363.0</v>
      </c>
      <c r="F121" s="32" t="s">
        <v>23</v>
      </c>
      <c r="G121" s="38">
        <v>100.0</v>
      </c>
      <c r="H121" s="42">
        <v>9.95</v>
      </c>
      <c r="I121" s="42">
        <v>7.84</v>
      </c>
      <c r="J121" s="33"/>
    </row>
    <row r="122">
      <c r="A122" s="31" t="s">
        <v>504</v>
      </c>
      <c r="B122" s="32">
        <v>18.0</v>
      </c>
      <c r="C122" s="31" t="s">
        <v>28</v>
      </c>
      <c r="D122" s="32">
        <v>3.0</v>
      </c>
      <c r="E122" s="37">
        <v>46363.0</v>
      </c>
      <c r="F122" s="32" t="s">
        <v>23</v>
      </c>
      <c r="G122" s="38">
        <v>100.0</v>
      </c>
      <c r="H122" s="42">
        <v>9.95</v>
      </c>
      <c r="I122" s="42">
        <v>7.92</v>
      </c>
      <c r="J122" s="33"/>
    </row>
    <row r="123">
      <c r="A123" s="31" t="s">
        <v>509</v>
      </c>
      <c r="B123" s="32">
        <v>18.0</v>
      </c>
      <c r="C123" s="31" t="s">
        <v>19</v>
      </c>
      <c r="D123" s="32">
        <v>1.0</v>
      </c>
      <c r="E123" s="37">
        <v>46363.0</v>
      </c>
      <c r="F123" s="32" t="s">
        <v>23</v>
      </c>
      <c r="G123" s="38">
        <v>100.0</v>
      </c>
      <c r="H123" s="42">
        <v>9.95</v>
      </c>
      <c r="I123" s="42">
        <v>7.59</v>
      </c>
      <c r="J123" s="33"/>
    </row>
    <row r="124">
      <c r="A124" s="31" t="s">
        <v>512</v>
      </c>
      <c r="B124" s="32">
        <v>18.0</v>
      </c>
      <c r="C124" s="31" t="s">
        <v>19</v>
      </c>
      <c r="D124" s="32">
        <v>2.0</v>
      </c>
      <c r="E124" s="37">
        <v>46363.0</v>
      </c>
      <c r="F124" s="32" t="s">
        <v>23</v>
      </c>
      <c r="G124" s="38">
        <v>100.0</v>
      </c>
      <c r="H124" s="42">
        <v>9.95</v>
      </c>
      <c r="I124" s="42">
        <v>7.49</v>
      </c>
      <c r="J124" s="33"/>
    </row>
    <row r="125">
      <c r="A125" s="31" t="s">
        <v>518</v>
      </c>
      <c r="B125" s="32">
        <v>18.0</v>
      </c>
      <c r="C125" s="31" t="s">
        <v>19</v>
      </c>
      <c r="D125" s="32">
        <v>3.0</v>
      </c>
      <c r="E125" s="37">
        <v>46363.0</v>
      </c>
      <c r="F125" s="32" t="s">
        <v>23</v>
      </c>
      <c r="G125" s="38">
        <v>100.0</v>
      </c>
      <c r="H125" s="42">
        <v>9.95</v>
      </c>
      <c r="I125" s="42">
        <v>7.84</v>
      </c>
      <c r="J125" s="33"/>
    </row>
    <row r="126">
      <c r="A126" s="31" t="s">
        <v>523</v>
      </c>
      <c r="B126" s="32">
        <v>18.0</v>
      </c>
      <c r="C126" s="31" t="s">
        <v>36</v>
      </c>
      <c r="D126" s="32">
        <v>1.0</v>
      </c>
      <c r="E126" s="37">
        <v>46363.0</v>
      </c>
      <c r="F126" s="32" t="s">
        <v>23</v>
      </c>
      <c r="G126" s="38">
        <v>100.0</v>
      </c>
      <c r="H126" s="42">
        <v>9.95</v>
      </c>
      <c r="I126" s="42">
        <v>7.93</v>
      </c>
      <c r="J126" s="33"/>
    </row>
    <row r="127">
      <c r="A127" s="31" t="s">
        <v>527</v>
      </c>
      <c r="B127" s="32">
        <v>18.0</v>
      </c>
      <c r="C127" s="31" t="s">
        <v>36</v>
      </c>
      <c r="D127" s="32">
        <v>2.0</v>
      </c>
      <c r="E127" s="37">
        <v>46363.0</v>
      </c>
      <c r="F127" s="32" t="s">
        <v>23</v>
      </c>
      <c r="G127" s="38">
        <v>100.0</v>
      </c>
      <c r="H127" s="42">
        <v>9.95</v>
      </c>
      <c r="I127" s="42">
        <v>7.91</v>
      </c>
      <c r="J127" s="33"/>
    </row>
    <row r="128">
      <c r="A128" s="31" t="s">
        <v>530</v>
      </c>
      <c r="B128" s="32">
        <v>18.0</v>
      </c>
      <c r="C128" s="31" t="s">
        <v>36</v>
      </c>
      <c r="D128" s="32">
        <v>3.0</v>
      </c>
      <c r="E128" s="37">
        <v>46363.0</v>
      </c>
      <c r="F128" s="32" t="s">
        <v>23</v>
      </c>
      <c r="G128" s="38">
        <v>100.0</v>
      </c>
      <c r="H128" s="42">
        <v>9.95</v>
      </c>
      <c r="I128" s="42">
        <v>7.92</v>
      </c>
      <c r="J128" s="33"/>
    </row>
    <row r="129">
      <c r="A129" s="9" t="s">
        <v>533</v>
      </c>
      <c r="B129" s="11">
        <v>19.0</v>
      </c>
      <c r="C129" s="9" t="s">
        <v>28</v>
      </c>
      <c r="D129" s="11">
        <v>1.0</v>
      </c>
      <c r="E129" s="16">
        <v>46230.0</v>
      </c>
      <c r="F129" s="11" t="s">
        <v>23</v>
      </c>
      <c r="G129" s="11">
        <v>97.9</v>
      </c>
      <c r="H129" s="11">
        <v>10.06</v>
      </c>
      <c r="I129" s="11">
        <v>7.72</v>
      </c>
      <c r="J129" s="22"/>
    </row>
    <row r="130">
      <c r="A130" s="9" t="s">
        <v>537</v>
      </c>
      <c r="B130" s="11">
        <v>19.0</v>
      </c>
      <c r="C130" s="9" t="s">
        <v>28</v>
      </c>
      <c r="D130" s="11">
        <v>2.0</v>
      </c>
      <c r="E130" s="30"/>
      <c r="F130" s="30"/>
      <c r="G130" s="30"/>
      <c r="H130" s="30"/>
      <c r="I130" s="30"/>
      <c r="J130" s="22"/>
    </row>
    <row r="131">
      <c r="A131" s="9" t="s">
        <v>540</v>
      </c>
      <c r="B131" s="11">
        <v>19.0</v>
      </c>
      <c r="C131" s="9" t="s">
        <v>28</v>
      </c>
      <c r="D131" s="11">
        <v>3.0</v>
      </c>
      <c r="E131" s="30"/>
      <c r="F131" s="30"/>
      <c r="G131" s="30"/>
      <c r="H131" s="30"/>
      <c r="I131" s="30"/>
      <c r="J131" s="22"/>
    </row>
    <row r="132">
      <c r="A132" s="9" t="s">
        <v>544</v>
      </c>
      <c r="B132" s="11">
        <v>19.0</v>
      </c>
      <c r="C132" s="9" t="s">
        <v>19</v>
      </c>
      <c r="D132" s="11">
        <v>1.0</v>
      </c>
      <c r="E132" s="16">
        <v>46230.0</v>
      </c>
      <c r="F132" s="11" t="s">
        <v>23</v>
      </c>
      <c r="G132" s="11">
        <v>97.9</v>
      </c>
      <c r="H132" s="11">
        <v>10.06</v>
      </c>
      <c r="I132" s="11">
        <v>7.77</v>
      </c>
      <c r="J132" s="22"/>
    </row>
    <row r="133">
      <c r="A133" s="9" t="s">
        <v>549</v>
      </c>
      <c r="B133" s="11">
        <v>19.0</v>
      </c>
      <c r="C133" s="9" t="s">
        <v>19</v>
      </c>
      <c r="D133" s="11">
        <v>2.0</v>
      </c>
      <c r="E133" s="30"/>
      <c r="F133" s="30"/>
      <c r="G133" s="30"/>
      <c r="H133" s="30"/>
      <c r="I133" s="30"/>
      <c r="J133" s="22"/>
    </row>
    <row r="134">
      <c r="A134" s="9" t="s">
        <v>554</v>
      </c>
      <c r="B134" s="11">
        <v>19.0</v>
      </c>
      <c r="C134" s="9" t="s">
        <v>19</v>
      </c>
      <c r="D134" s="11">
        <v>3.0</v>
      </c>
      <c r="E134" s="30"/>
      <c r="F134" s="30"/>
      <c r="G134" s="30"/>
      <c r="H134" s="30"/>
      <c r="I134" s="30"/>
      <c r="J134" s="22"/>
    </row>
    <row r="135">
      <c r="A135" s="9" t="s">
        <v>559</v>
      </c>
      <c r="B135" s="11">
        <v>19.0</v>
      </c>
      <c r="C135" s="9" t="s">
        <v>36</v>
      </c>
      <c r="D135" s="11">
        <v>1.0</v>
      </c>
      <c r="E135" s="16">
        <v>46230.0</v>
      </c>
      <c r="F135" s="11" t="s">
        <v>23</v>
      </c>
      <c r="G135" s="11">
        <v>97.9</v>
      </c>
      <c r="H135" s="11">
        <v>10.06</v>
      </c>
      <c r="I135" s="11">
        <v>7.74</v>
      </c>
      <c r="J135" s="22"/>
    </row>
    <row r="136">
      <c r="A136" s="9" t="s">
        <v>564</v>
      </c>
      <c r="B136" s="11">
        <v>19.0</v>
      </c>
      <c r="C136" s="9" t="s">
        <v>36</v>
      </c>
      <c r="D136" s="11">
        <v>2.0</v>
      </c>
      <c r="E136" s="30"/>
      <c r="F136" s="30"/>
      <c r="G136" s="30"/>
      <c r="H136" s="30"/>
      <c r="I136" s="30"/>
      <c r="J136" s="22"/>
    </row>
    <row r="137">
      <c r="A137" s="9" t="s">
        <v>568</v>
      </c>
      <c r="B137" s="11">
        <v>19.0</v>
      </c>
      <c r="C137" s="9" t="s">
        <v>36</v>
      </c>
      <c r="D137" s="11">
        <v>3.0</v>
      </c>
      <c r="E137" s="30"/>
      <c r="F137" s="30"/>
      <c r="G137" s="30"/>
      <c r="H137" s="30"/>
      <c r="I137" s="30"/>
      <c r="J137" s="22"/>
    </row>
    <row r="138">
      <c r="A138" s="31" t="s">
        <v>572</v>
      </c>
      <c r="B138" s="32">
        <v>20.0</v>
      </c>
      <c r="C138" s="31" t="s">
        <v>28</v>
      </c>
      <c r="D138" s="32">
        <v>2.0</v>
      </c>
      <c r="E138" s="16">
        <v>46230.0</v>
      </c>
      <c r="F138" s="11" t="s">
        <v>23</v>
      </c>
      <c r="G138" s="11">
        <v>97.9</v>
      </c>
      <c r="H138" s="11">
        <v>10.06</v>
      </c>
      <c r="I138" s="32">
        <v>7.72</v>
      </c>
      <c r="J138" s="33"/>
    </row>
    <row r="139">
      <c r="A139" s="31" t="s">
        <v>577</v>
      </c>
      <c r="B139" s="32">
        <v>20.0</v>
      </c>
      <c r="C139" s="31" t="s">
        <v>28</v>
      </c>
      <c r="D139" s="32">
        <v>3.0</v>
      </c>
      <c r="E139" s="34"/>
      <c r="F139" s="34"/>
      <c r="G139" s="34"/>
      <c r="H139" s="34"/>
      <c r="I139" s="34"/>
      <c r="J139" s="33"/>
    </row>
    <row r="140">
      <c r="A140" s="31" t="s">
        <v>580</v>
      </c>
      <c r="B140" s="32">
        <v>20.0</v>
      </c>
      <c r="C140" s="31" t="s">
        <v>19</v>
      </c>
      <c r="D140" s="32">
        <v>1.0</v>
      </c>
      <c r="E140" s="16">
        <v>46230.0</v>
      </c>
      <c r="F140" s="11" t="s">
        <v>23</v>
      </c>
      <c r="G140" s="11">
        <v>97.9</v>
      </c>
      <c r="H140" s="11">
        <v>10.06</v>
      </c>
      <c r="I140" s="32">
        <v>7.77</v>
      </c>
      <c r="J140" s="33"/>
    </row>
    <row r="141">
      <c r="A141" s="31" t="s">
        <v>585</v>
      </c>
      <c r="B141" s="32">
        <v>20.0</v>
      </c>
      <c r="C141" s="31" t="s">
        <v>19</v>
      </c>
      <c r="D141" s="32">
        <v>2.0</v>
      </c>
      <c r="E141" s="34"/>
      <c r="F141" s="34"/>
      <c r="G141" s="34"/>
      <c r="H141" s="34"/>
      <c r="I141" s="34"/>
      <c r="J141" s="33"/>
    </row>
    <row r="142">
      <c r="A142" s="31" t="s">
        <v>590</v>
      </c>
      <c r="B142" s="32">
        <v>20.0</v>
      </c>
      <c r="C142" s="31" t="s">
        <v>19</v>
      </c>
      <c r="D142" s="32">
        <v>3.0</v>
      </c>
      <c r="E142" s="34"/>
      <c r="F142" s="34"/>
      <c r="G142" s="34"/>
      <c r="H142" s="34"/>
      <c r="I142" s="34"/>
      <c r="J142" s="33"/>
    </row>
    <row r="143">
      <c r="A143" s="31" t="s">
        <v>592</v>
      </c>
      <c r="B143" s="32">
        <v>20.0</v>
      </c>
      <c r="C143" s="31" t="s">
        <v>36</v>
      </c>
      <c r="D143" s="32">
        <v>1.0</v>
      </c>
      <c r="E143" s="16">
        <v>46230.0</v>
      </c>
      <c r="F143" s="11" t="s">
        <v>23</v>
      </c>
      <c r="G143" s="11">
        <v>97.9</v>
      </c>
      <c r="H143" s="11">
        <v>10.06</v>
      </c>
      <c r="I143" s="32">
        <v>7.74</v>
      </c>
      <c r="J143" s="33"/>
    </row>
    <row r="144">
      <c r="A144" s="31" t="s">
        <v>597</v>
      </c>
      <c r="B144" s="32">
        <v>20.0</v>
      </c>
      <c r="C144" s="31" t="s">
        <v>36</v>
      </c>
      <c r="D144" s="32">
        <v>2.0</v>
      </c>
      <c r="E144" s="34"/>
      <c r="F144" s="34"/>
      <c r="G144" s="34"/>
      <c r="H144" s="34"/>
      <c r="I144" s="34"/>
      <c r="J144" s="33"/>
    </row>
    <row r="145">
      <c r="A145" s="31" t="s">
        <v>600</v>
      </c>
      <c r="B145" s="32">
        <v>20.0</v>
      </c>
      <c r="C145" s="31" t="s">
        <v>36</v>
      </c>
      <c r="D145" s="32">
        <v>3.0</v>
      </c>
      <c r="E145" s="34"/>
      <c r="F145" s="34"/>
      <c r="G145" s="34"/>
      <c r="H145" s="34"/>
      <c r="I145" s="34"/>
      <c r="J145" s="33"/>
    </row>
    <row r="146">
      <c r="A146" s="9" t="s">
        <v>604</v>
      </c>
      <c r="B146" s="11">
        <v>21.0</v>
      </c>
      <c r="C146" s="9" t="s">
        <v>28</v>
      </c>
      <c r="D146" s="11">
        <v>1.0</v>
      </c>
      <c r="E146" s="16">
        <v>46230.0</v>
      </c>
      <c r="F146" s="11" t="s">
        <v>23</v>
      </c>
      <c r="G146" s="11">
        <v>97.9</v>
      </c>
      <c r="H146" s="11">
        <v>10.06</v>
      </c>
      <c r="I146" s="11">
        <v>7.53</v>
      </c>
      <c r="J146" s="22"/>
    </row>
    <row r="147">
      <c r="A147" s="9" t="s">
        <v>608</v>
      </c>
      <c r="B147" s="11">
        <v>21.0</v>
      </c>
      <c r="C147" s="9" t="s">
        <v>28</v>
      </c>
      <c r="D147" s="11">
        <v>2.0</v>
      </c>
      <c r="E147" s="30"/>
      <c r="F147" s="30"/>
      <c r="G147" s="30"/>
      <c r="H147" s="30"/>
      <c r="I147" s="30"/>
      <c r="J147" s="22"/>
    </row>
    <row r="148">
      <c r="A148" s="9" t="s">
        <v>612</v>
      </c>
      <c r="B148" s="11">
        <v>21.0</v>
      </c>
      <c r="C148" s="9" t="s">
        <v>28</v>
      </c>
      <c r="D148" s="11">
        <v>3.0</v>
      </c>
      <c r="E148" s="30"/>
      <c r="F148" s="30"/>
      <c r="G148" s="30"/>
      <c r="H148" s="30"/>
      <c r="I148" s="30"/>
      <c r="J148" s="22"/>
    </row>
    <row r="149">
      <c r="A149" s="9" t="s">
        <v>615</v>
      </c>
      <c r="B149" s="11">
        <v>21.0</v>
      </c>
      <c r="C149" s="9" t="s">
        <v>19</v>
      </c>
      <c r="D149" s="11">
        <v>1.0</v>
      </c>
      <c r="E149" s="16">
        <v>46230.0</v>
      </c>
      <c r="F149" s="11" t="s">
        <v>23</v>
      </c>
      <c r="G149" s="11">
        <v>97.9</v>
      </c>
      <c r="H149" s="11">
        <v>10.06</v>
      </c>
      <c r="I149" s="11">
        <v>7.69</v>
      </c>
      <c r="J149" s="22"/>
    </row>
    <row r="150">
      <c r="A150" s="9" t="s">
        <v>618</v>
      </c>
      <c r="B150" s="11">
        <v>21.0</v>
      </c>
      <c r="C150" s="9" t="s">
        <v>19</v>
      </c>
      <c r="D150" s="11">
        <v>2.0</v>
      </c>
      <c r="E150" s="30"/>
      <c r="F150" s="30"/>
      <c r="G150" s="30"/>
      <c r="H150" s="30"/>
      <c r="I150" s="30"/>
      <c r="J150" s="22"/>
    </row>
    <row r="151">
      <c r="A151" s="9" t="s">
        <v>624</v>
      </c>
      <c r="B151" s="11">
        <v>21.0</v>
      </c>
      <c r="C151" s="9" t="s">
        <v>19</v>
      </c>
      <c r="D151" s="11">
        <v>3.0</v>
      </c>
      <c r="E151" s="30"/>
      <c r="F151" s="30"/>
      <c r="G151" s="30"/>
      <c r="H151" s="30"/>
      <c r="I151" s="30"/>
      <c r="J151" s="22"/>
    </row>
    <row r="152">
      <c r="A152" s="9" t="s">
        <v>628</v>
      </c>
      <c r="B152" s="11">
        <v>21.0</v>
      </c>
      <c r="C152" s="9" t="s">
        <v>36</v>
      </c>
      <c r="D152" s="11">
        <v>1.0</v>
      </c>
      <c r="E152" s="16">
        <v>46230.0</v>
      </c>
      <c r="F152" s="11" t="s">
        <v>23</v>
      </c>
      <c r="G152" s="11">
        <v>97.9</v>
      </c>
      <c r="H152" s="11">
        <v>10.06</v>
      </c>
      <c r="I152" s="11">
        <v>7.61</v>
      </c>
      <c r="J152" s="22"/>
    </row>
    <row r="153">
      <c r="A153" s="9" t="s">
        <v>632</v>
      </c>
      <c r="B153" s="11">
        <v>21.0</v>
      </c>
      <c r="C153" s="9" t="s">
        <v>36</v>
      </c>
      <c r="D153" s="11">
        <v>2.0</v>
      </c>
      <c r="E153" s="30"/>
      <c r="F153" s="30"/>
      <c r="G153" s="30"/>
      <c r="H153" s="30"/>
      <c r="I153" s="30"/>
      <c r="J153" s="22"/>
    </row>
    <row r="154">
      <c r="A154" s="9" t="s">
        <v>635</v>
      </c>
      <c r="B154" s="11">
        <v>21.0</v>
      </c>
      <c r="C154" s="9" t="s">
        <v>36</v>
      </c>
      <c r="D154" s="11">
        <v>3.0</v>
      </c>
      <c r="E154" s="30"/>
      <c r="F154" s="30"/>
      <c r="G154" s="30"/>
      <c r="H154" s="30"/>
      <c r="I154" s="30"/>
      <c r="J154" s="22"/>
    </row>
    <row r="155">
      <c r="A155" s="31" t="s">
        <v>638</v>
      </c>
      <c r="B155" s="32">
        <v>22.0</v>
      </c>
      <c r="C155" s="31" t="s">
        <v>28</v>
      </c>
      <c r="D155" s="32">
        <v>1.0</v>
      </c>
      <c r="E155" s="37">
        <v>46363.0</v>
      </c>
      <c r="F155" s="32" t="s">
        <v>23</v>
      </c>
      <c r="G155" s="38">
        <v>100.0</v>
      </c>
      <c r="H155" s="42">
        <v>9.95</v>
      </c>
      <c r="I155" s="42">
        <v>7.93</v>
      </c>
      <c r="J155" s="33"/>
    </row>
    <row r="156">
      <c r="A156" s="31" t="s">
        <v>643</v>
      </c>
      <c r="B156" s="32">
        <v>22.0</v>
      </c>
      <c r="C156" s="31" t="s">
        <v>28</v>
      </c>
      <c r="D156" s="32">
        <v>2.0</v>
      </c>
      <c r="E156" s="37">
        <v>46363.0</v>
      </c>
      <c r="F156" s="32" t="s">
        <v>23</v>
      </c>
      <c r="G156" s="38">
        <v>100.0</v>
      </c>
      <c r="H156" s="42">
        <v>9.95</v>
      </c>
      <c r="I156" s="42">
        <v>7.96</v>
      </c>
      <c r="J156" s="33"/>
    </row>
    <row r="157">
      <c r="A157" s="31" t="s">
        <v>647</v>
      </c>
      <c r="B157" s="32">
        <v>22.0</v>
      </c>
      <c r="C157" s="31" t="s">
        <v>28</v>
      </c>
      <c r="D157" s="32">
        <v>3.0</v>
      </c>
      <c r="E157" s="37">
        <v>46363.0</v>
      </c>
      <c r="F157" s="32" t="s">
        <v>23</v>
      </c>
      <c r="G157" s="38">
        <v>100.0</v>
      </c>
      <c r="H157" s="42">
        <v>9.95</v>
      </c>
      <c r="I157" s="42">
        <v>7.92</v>
      </c>
      <c r="J157" s="33"/>
    </row>
    <row r="158">
      <c r="A158" s="31" t="s">
        <v>651</v>
      </c>
      <c r="B158" s="32">
        <v>22.0</v>
      </c>
      <c r="C158" s="31" t="s">
        <v>19</v>
      </c>
      <c r="D158" s="32">
        <v>1.0</v>
      </c>
      <c r="E158" s="37">
        <v>46363.0</v>
      </c>
      <c r="F158" s="32" t="s">
        <v>23</v>
      </c>
      <c r="G158" s="38">
        <v>100.0</v>
      </c>
      <c r="H158" s="42">
        <v>9.95</v>
      </c>
      <c r="I158" s="42">
        <v>7.93</v>
      </c>
      <c r="J158" s="33"/>
    </row>
    <row r="159">
      <c r="A159" s="31" t="s">
        <v>655</v>
      </c>
      <c r="B159" s="32">
        <v>22.0</v>
      </c>
      <c r="C159" s="31" t="s">
        <v>19</v>
      </c>
      <c r="D159" s="32">
        <v>2.0</v>
      </c>
      <c r="E159" s="37">
        <v>46363.0</v>
      </c>
      <c r="F159" s="32" t="s">
        <v>23</v>
      </c>
      <c r="G159" s="38">
        <v>100.0</v>
      </c>
      <c r="H159" s="42">
        <v>9.95</v>
      </c>
      <c r="I159" s="42">
        <v>7.82</v>
      </c>
      <c r="J159" s="33"/>
    </row>
    <row r="160">
      <c r="A160" s="31" t="s">
        <v>661</v>
      </c>
      <c r="B160" s="32">
        <v>22.0</v>
      </c>
      <c r="C160" s="31" t="s">
        <v>19</v>
      </c>
      <c r="D160" s="32">
        <v>3.0</v>
      </c>
      <c r="E160" s="37">
        <v>46363.0</v>
      </c>
      <c r="F160" s="32" t="s">
        <v>23</v>
      </c>
      <c r="G160" s="38">
        <v>100.0</v>
      </c>
      <c r="H160" s="42">
        <v>9.95</v>
      </c>
      <c r="I160" s="42">
        <v>7.92</v>
      </c>
      <c r="J160" s="33"/>
    </row>
    <row r="161">
      <c r="A161" s="31" t="s">
        <v>663</v>
      </c>
      <c r="B161" s="32">
        <v>22.0</v>
      </c>
      <c r="C161" s="31" t="s">
        <v>36</v>
      </c>
      <c r="D161" s="32">
        <v>1.0</v>
      </c>
      <c r="E161" s="37">
        <v>46363.0</v>
      </c>
      <c r="F161" s="32" t="s">
        <v>23</v>
      </c>
      <c r="G161" s="38">
        <v>100.0</v>
      </c>
      <c r="H161" s="42">
        <v>9.95</v>
      </c>
      <c r="I161" s="42">
        <v>7.93</v>
      </c>
      <c r="J161" s="33"/>
    </row>
    <row r="162">
      <c r="A162" s="31" t="s">
        <v>666</v>
      </c>
      <c r="B162" s="32">
        <v>22.0</v>
      </c>
      <c r="C162" s="31" t="s">
        <v>36</v>
      </c>
      <c r="D162" s="32">
        <v>2.0</v>
      </c>
      <c r="E162" s="37">
        <v>46363.0</v>
      </c>
      <c r="F162" s="32" t="s">
        <v>23</v>
      </c>
      <c r="G162" s="38">
        <v>100.0</v>
      </c>
      <c r="H162" s="42">
        <v>9.95</v>
      </c>
      <c r="I162" s="42">
        <v>7.98</v>
      </c>
      <c r="J162" s="33"/>
    </row>
    <row r="163">
      <c r="A163" s="31" t="s">
        <v>669</v>
      </c>
      <c r="B163" s="32">
        <v>22.0</v>
      </c>
      <c r="C163" s="31" t="s">
        <v>36</v>
      </c>
      <c r="D163" s="32">
        <v>3.0</v>
      </c>
      <c r="E163" s="37">
        <v>46363.0</v>
      </c>
      <c r="F163" s="32" t="s">
        <v>23</v>
      </c>
      <c r="G163" s="38">
        <v>100.0</v>
      </c>
      <c r="H163" s="42">
        <v>9.95</v>
      </c>
      <c r="I163" s="42">
        <v>7.99</v>
      </c>
      <c r="J163" s="33"/>
    </row>
    <row r="164">
      <c r="A164" s="9" t="s">
        <v>671</v>
      </c>
      <c r="B164" s="11">
        <v>23.0</v>
      </c>
      <c r="C164" s="9" t="s">
        <v>28</v>
      </c>
      <c r="D164" s="11">
        <v>1.0</v>
      </c>
      <c r="E164" s="16">
        <v>46230.0</v>
      </c>
      <c r="F164" s="11" t="s">
        <v>23</v>
      </c>
      <c r="G164" s="11">
        <v>97.9</v>
      </c>
      <c r="H164" s="11">
        <v>10.06</v>
      </c>
      <c r="I164" s="11">
        <v>7.6</v>
      </c>
      <c r="J164" s="22"/>
    </row>
    <row r="165">
      <c r="A165" s="9" t="s">
        <v>675</v>
      </c>
      <c r="B165" s="11">
        <v>23.0</v>
      </c>
      <c r="C165" s="9" t="s">
        <v>28</v>
      </c>
      <c r="D165" s="11">
        <v>2.0</v>
      </c>
      <c r="E165" s="30"/>
      <c r="F165" s="30"/>
      <c r="G165" s="30"/>
      <c r="H165" s="30"/>
      <c r="I165" s="30"/>
      <c r="J165" s="22"/>
    </row>
    <row r="166">
      <c r="A166" s="9" t="s">
        <v>679</v>
      </c>
      <c r="B166" s="11">
        <v>23.0</v>
      </c>
      <c r="C166" s="9" t="s">
        <v>28</v>
      </c>
      <c r="D166" s="11">
        <v>3.0</v>
      </c>
      <c r="E166" s="30"/>
      <c r="F166" s="30"/>
      <c r="G166" s="30"/>
      <c r="H166" s="30"/>
      <c r="I166" s="30"/>
      <c r="J166" s="22"/>
    </row>
    <row r="167">
      <c r="A167" s="9" t="s">
        <v>682</v>
      </c>
      <c r="B167" s="11">
        <v>23.0</v>
      </c>
      <c r="C167" s="9" t="s">
        <v>19</v>
      </c>
      <c r="D167" s="11">
        <v>1.0</v>
      </c>
      <c r="E167" s="16">
        <v>46230.0</v>
      </c>
      <c r="F167" s="11" t="s">
        <v>23</v>
      </c>
      <c r="G167" s="11">
        <v>97.9</v>
      </c>
      <c r="H167" s="11">
        <v>10.06</v>
      </c>
      <c r="I167" s="11">
        <v>7.58</v>
      </c>
      <c r="J167" s="22"/>
    </row>
    <row r="168">
      <c r="A168" s="9" t="s">
        <v>687</v>
      </c>
      <c r="B168" s="11">
        <v>23.0</v>
      </c>
      <c r="C168" s="9" t="s">
        <v>19</v>
      </c>
      <c r="D168" s="11">
        <v>2.0</v>
      </c>
      <c r="E168" s="30"/>
      <c r="F168" s="30"/>
      <c r="G168" s="30"/>
      <c r="H168" s="30"/>
      <c r="I168" s="30"/>
      <c r="J168" s="22"/>
    </row>
    <row r="169">
      <c r="A169" s="9" t="s">
        <v>691</v>
      </c>
      <c r="B169" s="11">
        <v>23.0</v>
      </c>
      <c r="C169" s="9" t="s">
        <v>19</v>
      </c>
      <c r="D169" s="11">
        <v>3.0</v>
      </c>
      <c r="E169" s="30"/>
      <c r="F169" s="30"/>
      <c r="G169" s="30"/>
      <c r="H169" s="30"/>
      <c r="I169" s="30"/>
      <c r="J169" s="22"/>
    </row>
    <row r="170">
      <c r="A170" s="9" t="s">
        <v>693</v>
      </c>
      <c r="B170" s="11">
        <v>23.0</v>
      </c>
      <c r="C170" s="9" t="s">
        <v>36</v>
      </c>
      <c r="D170" s="11">
        <v>1.0</v>
      </c>
      <c r="E170" s="16">
        <v>46230.0</v>
      </c>
      <c r="F170" s="11" t="s">
        <v>23</v>
      </c>
      <c r="G170" s="11">
        <v>97.9</v>
      </c>
      <c r="H170" s="11">
        <v>10.06</v>
      </c>
      <c r="I170" s="11">
        <v>7.54</v>
      </c>
      <c r="J170" s="22"/>
    </row>
    <row r="171">
      <c r="A171" s="9" t="s">
        <v>697</v>
      </c>
      <c r="B171" s="11">
        <v>23.0</v>
      </c>
      <c r="C171" s="9" t="s">
        <v>36</v>
      </c>
      <c r="D171" s="11">
        <v>2.0</v>
      </c>
      <c r="E171" s="30"/>
      <c r="F171" s="30"/>
      <c r="G171" s="30"/>
      <c r="H171" s="30"/>
      <c r="I171" s="30"/>
      <c r="J171" s="22"/>
    </row>
    <row r="172">
      <c r="A172" s="9" t="s">
        <v>700</v>
      </c>
      <c r="B172" s="11">
        <v>23.0</v>
      </c>
      <c r="C172" s="9" t="s">
        <v>36</v>
      </c>
      <c r="D172" s="11">
        <v>3.0</v>
      </c>
      <c r="E172" s="30"/>
      <c r="F172" s="30"/>
      <c r="G172" s="30"/>
      <c r="H172" s="30"/>
      <c r="I172" s="30"/>
      <c r="J172" s="22"/>
    </row>
    <row r="173">
      <c r="A173" s="31" t="s">
        <v>704</v>
      </c>
      <c r="B173" s="32">
        <v>24.0</v>
      </c>
      <c r="C173" s="31" t="s">
        <v>28</v>
      </c>
      <c r="D173" s="32">
        <v>1.0</v>
      </c>
      <c r="E173" s="16">
        <v>46230.0</v>
      </c>
      <c r="F173" s="11" t="s">
        <v>23</v>
      </c>
      <c r="G173" s="11">
        <v>97.9</v>
      </c>
      <c r="H173" s="11">
        <v>10.06</v>
      </c>
      <c r="I173" s="32">
        <v>8.02</v>
      </c>
      <c r="J173" s="33"/>
    </row>
    <row r="174">
      <c r="A174" s="31" t="s">
        <v>708</v>
      </c>
      <c r="B174" s="32">
        <v>24.0</v>
      </c>
      <c r="C174" s="31" t="s">
        <v>28</v>
      </c>
      <c r="D174" s="32">
        <v>2.0</v>
      </c>
      <c r="E174" s="34"/>
      <c r="F174" s="34"/>
      <c r="G174" s="34"/>
      <c r="H174" s="34"/>
      <c r="I174" s="34"/>
      <c r="J174" s="33"/>
    </row>
    <row r="175">
      <c r="A175" s="31" t="s">
        <v>711</v>
      </c>
      <c r="B175" s="32">
        <v>24.0</v>
      </c>
      <c r="C175" s="31" t="s">
        <v>28</v>
      </c>
      <c r="D175" s="32">
        <v>3.0</v>
      </c>
      <c r="E175" s="34"/>
      <c r="F175" s="34"/>
      <c r="G175" s="34"/>
      <c r="H175" s="34"/>
      <c r="I175" s="34"/>
      <c r="J175" s="33"/>
    </row>
    <row r="176">
      <c r="A176" s="31" t="s">
        <v>715</v>
      </c>
      <c r="B176" s="32">
        <v>24.0</v>
      </c>
      <c r="C176" s="31" t="s">
        <v>19</v>
      </c>
      <c r="D176" s="32">
        <v>1.0</v>
      </c>
      <c r="E176" s="16">
        <v>46230.0</v>
      </c>
      <c r="F176" s="11" t="s">
        <v>23</v>
      </c>
      <c r="G176" s="11">
        <v>97.9</v>
      </c>
      <c r="H176" s="11">
        <v>10.06</v>
      </c>
      <c r="I176" s="32">
        <v>8.03</v>
      </c>
      <c r="J176" s="33"/>
    </row>
    <row r="177">
      <c r="A177" s="31" t="s">
        <v>718</v>
      </c>
      <c r="B177" s="32">
        <v>24.0</v>
      </c>
      <c r="C177" s="31" t="s">
        <v>19</v>
      </c>
      <c r="D177" s="32">
        <v>2.0</v>
      </c>
      <c r="E177" s="34"/>
      <c r="F177" s="34"/>
      <c r="G177" s="34"/>
      <c r="H177" s="34"/>
      <c r="I177" s="34"/>
      <c r="J177" s="33"/>
    </row>
    <row r="178">
      <c r="A178" s="31" t="s">
        <v>722</v>
      </c>
      <c r="B178" s="32">
        <v>24.0</v>
      </c>
      <c r="C178" s="31" t="s">
        <v>36</v>
      </c>
      <c r="D178" s="32">
        <v>1.0</v>
      </c>
      <c r="E178" s="16">
        <v>46230.0</v>
      </c>
      <c r="F178" s="11" t="s">
        <v>23</v>
      </c>
      <c r="G178" s="11">
        <v>97.9</v>
      </c>
      <c r="H178" s="11">
        <v>10.06</v>
      </c>
      <c r="I178" s="32">
        <v>7.92</v>
      </c>
      <c r="J178" s="33"/>
    </row>
    <row r="179">
      <c r="A179" s="31" t="s">
        <v>726</v>
      </c>
      <c r="B179" s="32">
        <v>24.0</v>
      </c>
      <c r="C179" s="31" t="s">
        <v>36</v>
      </c>
      <c r="D179" s="32">
        <v>2.0</v>
      </c>
      <c r="E179" s="34"/>
      <c r="F179" s="34"/>
      <c r="G179" s="34"/>
      <c r="H179" s="34"/>
      <c r="I179" s="34"/>
      <c r="J179" s="33"/>
    </row>
    <row r="180">
      <c r="A180" s="31" t="s">
        <v>730</v>
      </c>
      <c r="B180" s="32">
        <v>24.0</v>
      </c>
      <c r="C180" s="31" t="s">
        <v>36</v>
      </c>
      <c r="D180" s="32">
        <v>3.0</v>
      </c>
      <c r="E180" s="34"/>
      <c r="F180" s="34"/>
      <c r="G180" s="34"/>
      <c r="H180" s="34"/>
      <c r="I180" s="34"/>
      <c r="J180" s="33"/>
    </row>
    <row r="181">
      <c r="A181" s="9" t="s">
        <v>734</v>
      </c>
      <c r="B181" s="11">
        <v>25.0</v>
      </c>
      <c r="C181" s="9" t="s">
        <v>28</v>
      </c>
      <c r="D181" s="11">
        <v>1.0</v>
      </c>
      <c r="E181" s="16">
        <v>46230.0</v>
      </c>
      <c r="F181" s="11" t="s">
        <v>23</v>
      </c>
      <c r="G181" s="11">
        <v>97.9</v>
      </c>
      <c r="H181" s="11">
        <v>10.06</v>
      </c>
      <c r="I181" s="11">
        <v>7.79</v>
      </c>
      <c r="J181" s="22"/>
    </row>
    <row r="182">
      <c r="A182" s="9" t="s">
        <v>735</v>
      </c>
      <c r="B182" s="11">
        <v>25.0</v>
      </c>
      <c r="C182" s="9" t="s">
        <v>28</v>
      </c>
      <c r="D182" s="11">
        <v>2.0</v>
      </c>
      <c r="E182" s="30"/>
      <c r="F182" s="30"/>
      <c r="G182" s="30"/>
      <c r="H182" s="30"/>
      <c r="I182" s="30"/>
      <c r="J182" s="22"/>
    </row>
    <row r="183">
      <c r="A183" s="9" t="s">
        <v>739</v>
      </c>
      <c r="B183" s="11">
        <v>25.0</v>
      </c>
      <c r="C183" s="9" t="s">
        <v>28</v>
      </c>
      <c r="D183" s="11">
        <v>3.0</v>
      </c>
      <c r="E183" s="30"/>
      <c r="F183" s="30"/>
      <c r="G183" s="30"/>
      <c r="H183" s="30"/>
      <c r="I183" s="30"/>
      <c r="J183" s="22"/>
    </row>
    <row r="184">
      <c r="A184" s="9" t="s">
        <v>742</v>
      </c>
      <c r="B184" s="11">
        <v>25.0</v>
      </c>
      <c r="C184" s="9" t="s">
        <v>19</v>
      </c>
      <c r="D184" s="11">
        <v>1.0</v>
      </c>
      <c r="E184" s="16">
        <v>46230.0</v>
      </c>
      <c r="F184" s="11" t="s">
        <v>23</v>
      </c>
      <c r="G184" s="11">
        <v>97.9</v>
      </c>
      <c r="H184" s="11">
        <v>10.06</v>
      </c>
      <c r="I184" s="11">
        <v>7.78</v>
      </c>
      <c r="J184" s="22"/>
    </row>
    <row r="185">
      <c r="A185" s="9" t="s">
        <v>745</v>
      </c>
      <c r="B185" s="11">
        <v>25.0</v>
      </c>
      <c r="C185" s="9" t="s">
        <v>19</v>
      </c>
      <c r="D185" s="11">
        <v>2.0</v>
      </c>
      <c r="E185" s="30"/>
      <c r="F185" s="30"/>
      <c r="G185" s="30"/>
      <c r="H185" s="30"/>
      <c r="I185" s="30"/>
      <c r="J185" s="22"/>
    </row>
    <row r="186">
      <c r="A186" s="9" t="s">
        <v>748</v>
      </c>
      <c r="B186" s="11">
        <v>25.0</v>
      </c>
      <c r="C186" s="9" t="s">
        <v>19</v>
      </c>
      <c r="D186" s="11">
        <v>3.0</v>
      </c>
      <c r="E186" s="30"/>
      <c r="F186" s="30"/>
      <c r="G186" s="30"/>
      <c r="H186" s="30"/>
      <c r="I186" s="30"/>
      <c r="J186" s="22"/>
    </row>
    <row r="187">
      <c r="A187" s="9" t="s">
        <v>752</v>
      </c>
      <c r="B187" s="11">
        <v>25.0</v>
      </c>
      <c r="C187" s="9" t="s">
        <v>36</v>
      </c>
      <c r="D187" s="11">
        <v>1.0</v>
      </c>
      <c r="E187" s="16">
        <v>46230.0</v>
      </c>
      <c r="F187" s="11" t="s">
        <v>23</v>
      </c>
      <c r="G187" s="11">
        <v>97.9</v>
      </c>
      <c r="H187" s="11">
        <v>10.06</v>
      </c>
      <c r="I187" s="11">
        <v>7.7</v>
      </c>
      <c r="J187" s="22"/>
    </row>
    <row r="188">
      <c r="A188" s="9" t="s">
        <v>756</v>
      </c>
      <c r="B188" s="11">
        <v>25.0</v>
      </c>
      <c r="C188" s="9" t="s">
        <v>36</v>
      </c>
      <c r="D188" s="11">
        <v>2.0</v>
      </c>
      <c r="E188" s="30"/>
      <c r="F188" s="30"/>
      <c r="G188" s="30"/>
      <c r="H188" s="30"/>
      <c r="I188" s="30"/>
      <c r="J188" s="22"/>
    </row>
    <row r="189">
      <c r="A189" s="9" t="s">
        <v>760</v>
      </c>
      <c r="B189" s="11">
        <v>25.0</v>
      </c>
      <c r="C189" s="9" t="s">
        <v>36</v>
      </c>
      <c r="D189" s="11">
        <v>3.0</v>
      </c>
      <c r="E189" s="30"/>
      <c r="F189" s="30"/>
      <c r="G189" s="30"/>
      <c r="H189" s="30"/>
      <c r="I189" s="30"/>
      <c r="J189" s="22"/>
    </row>
    <row r="190">
      <c r="A190" s="31" t="s">
        <v>763</v>
      </c>
      <c r="B190" s="32">
        <v>26.0</v>
      </c>
      <c r="C190" s="31" t="s">
        <v>28</v>
      </c>
      <c r="D190" s="32">
        <v>1.0</v>
      </c>
      <c r="E190" s="16">
        <v>46230.0</v>
      </c>
      <c r="F190" s="11" t="s">
        <v>23</v>
      </c>
      <c r="G190" s="11">
        <v>97.9</v>
      </c>
      <c r="H190" s="11">
        <v>10.06</v>
      </c>
      <c r="I190" s="32">
        <v>7.76</v>
      </c>
      <c r="J190" s="33"/>
    </row>
    <row r="191">
      <c r="A191" s="31" t="s">
        <v>768</v>
      </c>
      <c r="B191" s="32">
        <v>26.0</v>
      </c>
      <c r="C191" s="31" t="s">
        <v>28</v>
      </c>
      <c r="D191" s="32">
        <v>3.0</v>
      </c>
      <c r="E191" s="34"/>
      <c r="F191" s="34"/>
      <c r="G191" s="34"/>
      <c r="H191" s="34"/>
      <c r="I191" s="34"/>
      <c r="J191" s="33"/>
    </row>
    <row r="192">
      <c r="A192" s="31" t="s">
        <v>772</v>
      </c>
      <c r="B192" s="32">
        <v>26.0</v>
      </c>
      <c r="C192" s="31" t="s">
        <v>19</v>
      </c>
      <c r="D192" s="32">
        <v>1.0</v>
      </c>
      <c r="E192" s="16">
        <v>46230.0</v>
      </c>
      <c r="F192" s="11" t="s">
        <v>23</v>
      </c>
      <c r="G192" s="11">
        <v>97.9</v>
      </c>
      <c r="H192" s="11">
        <v>10.06</v>
      </c>
      <c r="I192" s="32">
        <v>7.82</v>
      </c>
      <c r="J192" s="33"/>
    </row>
    <row r="193">
      <c r="A193" s="31" t="s">
        <v>775</v>
      </c>
      <c r="B193" s="32">
        <v>26.0</v>
      </c>
      <c r="C193" s="31" t="s">
        <v>19</v>
      </c>
      <c r="D193" s="32">
        <v>3.0</v>
      </c>
      <c r="E193" s="34"/>
      <c r="F193" s="34"/>
      <c r="G193" s="34"/>
      <c r="H193" s="34"/>
      <c r="I193" s="34"/>
      <c r="J193" s="33"/>
    </row>
    <row r="194">
      <c r="A194" s="31" t="s">
        <v>779</v>
      </c>
      <c r="B194" s="32">
        <v>26.0</v>
      </c>
      <c r="C194" s="31" t="s">
        <v>36</v>
      </c>
      <c r="D194" s="32">
        <v>1.0</v>
      </c>
      <c r="E194" s="16">
        <v>46230.0</v>
      </c>
      <c r="F194" s="11" t="s">
        <v>23</v>
      </c>
      <c r="G194" s="11">
        <v>97.9</v>
      </c>
      <c r="H194" s="11">
        <v>10.06</v>
      </c>
      <c r="I194" s="32">
        <v>7.75</v>
      </c>
      <c r="J194" s="33"/>
    </row>
    <row r="195">
      <c r="A195" s="31" t="s">
        <v>783</v>
      </c>
      <c r="B195" s="32">
        <v>26.0</v>
      </c>
      <c r="C195" s="31" t="s">
        <v>36</v>
      </c>
      <c r="D195" s="32">
        <v>2.0</v>
      </c>
      <c r="E195" s="34"/>
      <c r="F195" s="34"/>
      <c r="G195" s="34"/>
      <c r="H195" s="34"/>
      <c r="I195" s="34"/>
      <c r="J195" s="33"/>
    </row>
    <row r="196">
      <c r="A196" s="31" t="s">
        <v>785</v>
      </c>
      <c r="B196" s="32">
        <v>26.0</v>
      </c>
      <c r="C196" s="31" t="s">
        <v>36</v>
      </c>
      <c r="D196" s="32">
        <v>3.0</v>
      </c>
      <c r="E196" s="34"/>
      <c r="F196" s="34"/>
      <c r="G196" s="34"/>
      <c r="H196" s="34"/>
      <c r="I196" s="34"/>
      <c r="J196" s="33"/>
    </row>
    <row r="197">
      <c r="A197" s="9" t="s">
        <v>789</v>
      </c>
      <c r="B197" s="11">
        <v>27.0</v>
      </c>
      <c r="C197" s="9" t="s">
        <v>28</v>
      </c>
      <c r="D197" s="11">
        <v>1.0</v>
      </c>
      <c r="E197" s="16">
        <v>46230.0</v>
      </c>
      <c r="F197" s="11" t="s">
        <v>23</v>
      </c>
      <c r="G197" s="11">
        <v>97.9</v>
      </c>
      <c r="H197" s="11">
        <v>10.06</v>
      </c>
      <c r="I197" s="11">
        <v>7.89</v>
      </c>
      <c r="J197" s="22"/>
    </row>
    <row r="198">
      <c r="A198" s="9" t="s">
        <v>792</v>
      </c>
      <c r="B198" s="11">
        <v>27.0</v>
      </c>
      <c r="C198" s="9" t="s">
        <v>28</v>
      </c>
      <c r="D198" s="11">
        <v>2.0</v>
      </c>
      <c r="E198" s="30"/>
      <c r="F198" s="30"/>
      <c r="G198" s="30"/>
      <c r="H198" s="30"/>
      <c r="I198" s="30"/>
      <c r="J198" s="22"/>
    </row>
    <row r="199">
      <c r="A199" s="9" t="s">
        <v>796</v>
      </c>
      <c r="B199" s="11">
        <v>27.0</v>
      </c>
      <c r="C199" s="9" t="s">
        <v>28</v>
      </c>
      <c r="D199" s="11">
        <v>3.0</v>
      </c>
      <c r="E199" s="30"/>
      <c r="F199" s="30"/>
      <c r="G199" s="30"/>
      <c r="H199" s="30"/>
      <c r="I199" s="30"/>
      <c r="J199" s="22"/>
    </row>
    <row r="200">
      <c r="A200" s="9" t="s">
        <v>799</v>
      </c>
      <c r="B200" s="11">
        <v>27.0</v>
      </c>
      <c r="C200" s="9" t="s">
        <v>19</v>
      </c>
      <c r="D200" s="11">
        <v>1.0</v>
      </c>
      <c r="E200" s="16">
        <v>46230.0</v>
      </c>
      <c r="F200" s="11" t="s">
        <v>23</v>
      </c>
      <c r="G200" s="11">
        <v>97.9</v>
      </c>
      <c r="H200" s="11">
        <v>10.06</v>
      </c>
      <c r="I200" s="11">
        <v>7.95</v>
      </c>
      <c r="J200" s="22"/>
    </row>
    <row r="201">
      <c r="A201" s="9" t="s">
        <v>802</v>
      </c>
      <c r="B201" s="11">
        <v>27.0</v>
      </c>
      <c r="C201" s="9" t="s">
        <v>19</v>
      </c>
      <c r="D201" s="11">
        <v>2.0</v>
      </c>
      <c r="E201" s="30"/>
      <c r="F201" s="30"/>
      <c r="G201" s="30"/>
      <c r="H201" s="30"/>
      <c r="I201" s="30"/>
      <c r="J201" s="22"/>
    </row>
    <row r="202">
      <c r="A202" s="9" t="s">
        <v>804</v>
      </c>
      <c r="B202" s="11">
        <v>27.0</v>
      </c>
      <c r="C202" s="9" t="s">
        <v>36</v>
      </c>
      <c r="D202" s="11">
        <v>1.0</v>
      </c>
      <c r="E202" s="16">
        <v>46230.0</v>
      </c>
      <c r="F202" s="11" t="s">
        <v>23</v>
      </c>
      <c r="G202" s="11">
        <v>97.9</v>
      </c>
      <c r="H202" s="11">
        <v>10.06</v>
      </c>
      <c r="I202" s="11">
        <v>7.89</v>
      </c>
      <c r="J202" s="22"/>
    </row>
    <row r="203">
      <c r="A203" s="9" t="s">
        <v>807</v>
      </c>
      <c r="B203" s="11">
        <v>27.0</v>
      </c>
      <c r="C203" s="9" t="s">
        <v>36</v>
      </c>
      <c r="D203" s="11">
        <v>2.0</v>
      </c>
      <c r="E203" s="30"/>
      <c r="F203" s="30"/>
      <c r="G203" s="30"/>
      <c r="H203" s="30"/>
      <c r="I203" s="30"/>
      <c r="J203" s="22"/>
    </row>
    <row r="204">
      <c r="A204" s="9" t="s">
        <v>811</v>
      </c>
      <c r="B204" s="11">
        <v>27.0</v>
      </c>
      <c r="C204" s="9" t="s">
        <v>36</v>
      </c>
      <c r="D204" s="11">
        <v>3.0</v>
      </c>
      <c r="E204" s="30"/>
      <c r="F204" s="30"/>
      <c r="G204" s="30"/>
      <c r="H204" s="30"/>
      <c r="I204" s="30"/>
      <c r="J204" s="22"/>
    </row>
    <row r="205">
      <c r="A205" s="31" t="s">
        <v>814</v>
      </c>
      <c r="B205" s="32">
        <v>28.0</v>
      </c>
      <c r="C205" s="31" t="s">
        <v>28</v>
      </c>
      <c r="D205" s="32">
        <v>1.0</v>
      </c>
      <c r="E205" s="16">
        <v>46230.0</v>
      </c>
      <c r="F205" s="11" t="s">
        <v>23</v>
      </c>
      <c r="G205" s="11">
        <v>97.9</v>
      </c>
      <c r="H205" s="11">
        <v>10.06</v>
      </c>
      <c r="I205" s="32">
        <v>8.11</v>
      </c>
      <c r="J205" s="33"/>
    </row>
    <row r="206">
      <c r="A206" s="31" t="s">
        <v>817</v>
      </c>
      <c r="B206" s="32">
        <v>28.0</v>
      </c>
      <c r="C206" s="31" t="s">
        <v>28</v>
      </c>
      <c r="D206" s="32">
        <v>2.0</v>
      </c>
      <c r="E206" s="34"/>
      <c r="F206" s="34"/>
      <c r="G206" s="34"/>
      <c r="H206" s="34"/>
      <c r="I206" s="34"/>
      <c r="J206" s="33"/>
    </row>
    <row r="207">
      <c r="A207" s="31" t="s">
        <v>820</v>
      </c>
      <c r="B207" s="32">
        <v>28.0</v>
      </c>
      <c r="C207" s="31" t="s">
        <v>28</v>
      </c>
      <c r="D207" s="32">
        <v>3.0</v>
      </c>
      <c r="E207" s="34"/>
      <c r="F207" s="34"/>
      <c r="G207" s="34"/>
      <c r="H207" s="34"/>
      <c r="I207" s="34"/>
      <c r="J207" s="33"/>
    </row>
    <row r="208">
      <c r="A208" s="31" t="s">
        <v>822</v>
      </c>
      <c r="B208" s="32">
        <v>28.0</v>
      </c>
      <c r="C208" s="31" t="s">
        <v>19</v>
      </c>
      <c r="D208" s="32">
        <v>1.0</v>
      </c>
      <c r="E208" s="16">
        <v>46230.0</v>
      </c>
      <c r="F208" s="11" t="s">
        <v>23</v>
      </c>
      <c r="G208" s="11">
        <v>97.9</v>
      </c>
      <c r="H208" s="11">
        <v>10.06</v>
      </c>
      <c r="I208" s="32">
        <v>8.21</v>
      </c>
      <c r="J208" s="33"/>
    </row>
    <row r="209">
      <c r="A209" s="31" t="s">
        <v>825</v>
      </c>
      <c r="B209" s="32">
        <v>28.0</v>
      </c>
      <c r="C209" s="31" t="s">
        <v>19</v>
      </c>
      <c r="D209" s="32">
        <v>2.0</v>
      </c>
      <c r="E209" s="34"/>
      <c r="F209" s="34"/>
      <c r="G209" s="34"/>
      <c r="H209" s="34"/>
      <c r="I209" s="34"/>
      <c r="J209" s="33"/>
    </row>
    <row r="210">
      <c r="A210" s="31" t="s">
        <v>830</v>
      </c>
      <c r="B210" s="32">
        <v>28.0</v>
      </c>
      <c r="C210" s="31" t="s">
        <v>19</v>
      </c>
      <c r="D210" s="32">
        <v>3.0</v>
      </c>
      <c r="E210" s="34"/>
      <c r="F210" s="34"/>
      <c r="G210" s="34"/>
      <c r="H210" s="34"/>
      <c r="I210" s="34"/>
      <c r="J210" s="33"/>
    </row>
    <row r="211">
      <c r="A211" s="31" t="s">
        <v>833</v>
      </c>
      <c r="B211" s="32">
        <v>28.0</v>
      </c>
      <c r="C211" s="31" t="s">
        <v>36</v>
      </c>
      <c r="D211" s="32">
        <v>1.0</v>
      </c>
      <c r="E211" s="16">
        <v>46230.0</v>
      </c>
      <c r="F211" s="11" t="s">
        <v>23</v>
      </c>
      <c r="G211" s="11">
        <v>97.9</v>
      </c>
      <c r="H211" s="11">
        <v>10.06</v>
      </c>
      <c r="I211" s="32">
        <v>8.03</v>
      </c>
      <c r="J211" s="33"/>
    </row>
    <row r="212">
      <c r="A212" s="31" t="s">
        <v>837</v>
      </c>
      <c r="B212" s="32">
        <v>28.0</v>
      </c>
      <c r="C212" s="31" t="s">
        <v>36</v>
      </c>
      <c r="D212" s="32">
        <v>2.0</v>
      </c>
      <c r="E212" s="34"/>
      <c r="F212" s="34"/>
      <c r="G212" s="34"/>
      <c r="H212" s="34"/>
      <c r="I212" s="34"/>
      <c r="J212" s="33"/>
    </row>
    <row r="213">
      <c r="A213" s="31" t="s">
        <v>840</v>
      </c>
      <c r="B213" s="32">
        <v>28.0</v>
      </c>
      <c r="C213" s="31" t="s">
        <v>36</v>
      </c>
      <c r="D213" s="32">
        <v>3.0</v>
      </c>
      <c r="E213" s="34"/>
      <c r="F213" s="34"/>
      <c r="G213" s="34"/>
      <c r="H213" s="34"/>
      <c r="I213" s="34"/>
      <c r="J213" s="33"/>
    </row>
    <row r="214">
      <c r="A214" s="9" t="s">
        <v>845</v>
      </c>
      <c r="B214" s="11">
        <v>29.0</v>
      </c>
      <c r="C214" s="9" t="s">
        <v>28</v>
      </c>
      <c r="D214" s="11">
        <v>1.0</v>
      </c>
      <c r="E214" s="16">
        <v>46230.0</v>
      </c>
      <c r="F214" s="11" t="s">
        <v>23</v>
      </c>
      <c r="G214" s="11">
        <v>97.9</v>
      </c>
      <c r="H214" s="11">
        <v>10.06</v>
      </c>
      <c r="I214" s="11">
        <v>7.93</v>
      </c>
      <c r="J214" s="22"/>
    </row>
    <row r="215">
      <c r="A215" s="9" t="s">
        <v>850</v>
      </c>
      <c r="B215" s="11">
        <v>29.0</v>
      </c>
      <c r="C215" s="9" t="s">
        <v>28</v>
      </c>
      <c r="D215" s="11">
        <v>2.0</v>
      </c>
      <c r="E215" s="30"/>
      <c r="F215" s="30"/>
      <c r="G215" s="30"/>
      <c r="H215" s="30"/>
      <c r="I215" s="30"/>
      <c r="J215" s="22"/>
    </row>
    <row r="216">
      <c r="A216" s="9" t="s">
        <v>853</v>
      </c>
      <c r="B216" s="11">
        <v>29.0</v>
      </c>
      <c r="C216" s="9" t="s">
        <v>28</v>
      </c>
      <c r="D216" s="11">
        <v>3.0</v>
      </c>
      <c r="E216" s="30"/>
      <c r="F216" s="30"/>
      <c r="G216" s="30"/>
      <c r="H216" s="30"/>
      <c r="I216" s="30"/>
      <c r="J216" s="22"/>
    </row>
    <row r="217">
      <c r="A217" s="9" t="s">
        <v>857</v>
      </c>
      <c r="B217" s="11">
        <v>29.0</v>
      </c>
      <c r="C217" s="9" t="s">
        <v>19</v>
      </c>
      <c r="D217" s="11">
        <v>1.0</v>
      </c>
      <c r="E217" s="16">
        <v>46230.0</v>
      </c>
      <c r="F217" s="11" t="s">
        <v>23</v>
      </c>
      <c r="G217" s="11">
        <v>97.9</v>
      </c>
      <c r="H217" s="11">
        <v>10.06</v>
      </c>
      <c r="I217" s="11">
        <v>8.13</v>
      </c>
      <c r="J217" s="22"/>
    </row>
    <row r="218">
      <c r="A218" s="9" t="s">
        <v>859</v>
      </c>
      <c r="B218" s="11">
        <v>29.0</v>
      </c>
      <c r="C218" s="9" t="s">
        <v>19</v>
      </c>
      <c r="D218" s="11">
        <v>2.0</v>
      </c>
      <c r="E218" s="30"/>
      <c r="F218" s="30"/>
      <c r="G218" s="30"/>
      <c r="H218" s="30"/>
      <c r="I218" s="30"/>
      <c r="J218" s="22"/>
    </row>
    <row r="219">
      <c r="A219" s="9" t="s">
        <v>863</v>
      </c>
      <c r="B219" s="11">
        <v>29.0</v>
      </c>
      <c r="C219" s="9" t="s">
        <v>19</v>
      </c>
      <c r="D219" s="11">
        <v>3.0</v>
      </c>
      <c r="E219" s="30"/>
      <c r="F219" s="30"/>
      <c r="G219" s="30"/>
      <c r="H219" s="30"/>
      <c r="I219" s="30"/>
      <c r="J219" s="22"/>
    </row>
    <row r="220">
      <c r="A220" s="9" t="s">
        <v>866</v>
      </c>
      <c r="B220" s="11">
        <v>29.0</v>
      </c>
      <c r="C220" s="9" t="s">
        <v>36</v>
      </c>
      <c r="D220" s="11">
        <v>1.0</v>
      </c>
      <c r="E220" s="16">
        <v>46230.0</v>
      </c>
      <c r="F220" s="11" t="s">
        <v>23</v>
      </c>
      <c r="G220" s="11">
        <v>97.9</v>
      </c>
      <c r="H220" s="11">
        <v>10.06</v>
      </c>
      <c r="I220" s="11">
        <v>8.08</v>
      </c>
      <c r="J220" s="22"/>
    </row>
    <row r="221">
      <c r="A221" s="9" t="s">
        <v>868</v>
      </c>
      <c r="B221" s="11">
        <v>29.0</v>
      </c>
      <c r="C221" s="9" t="s">
        <v>36</v>
      </c>
      <c r="D221" s="11">
        <v>2.0</v>
      </c>
      <c r="E221" s="30"/>
      <c r="F221" s="30"/>
      <c r="G221" s="30"/>
      <c r="H221" s="30"/>
      <c r="I221" s="30"/>
      <c r="J221" s="22"/>
    </row>
    <row r="222">
      <c r="A222" s="9" t="s">
        <v>871</v>
      </c>
      <c r="B222" s="11">
        <v>29.0</v>
      </c>
      <c r="C222" s="9" t="s">
        <v>36</v>
      </c>
      <c r="D222" s="11">
        <v>3.0</v>
      </c>
      <c r="E222" s="30"/>
      <c r="F222" s="30"/>
      <c r="G222" s="30"/>
      <c r="H222" s="30"/>
      <c r="I222" s="30"/>
      <c r="J222" s="22"/>
    </row>
    <row r="223">
      <c r="A223" s="31" t="s">
        <v>873</v>
      </c>
      <c r="B223" s="32">
        <v>30.0</v>
      </c>
      <c r="C223" s="31" t="s">
        <v>28</v>
      </c>
      <c r="D223" s="32">
        <v>1.0</v>
      </c>
      <c r="E223" s="16">
        <v>46230.0</v>
      </c>
      <c r="F223" s="11" t="s">
        <v>23</v>
      </c>
      <c r="G223" s="11">
        <v>97.9</v>
      </c>
      <c r="H223" s="11">
        <v>10.06</v>
      </c>
      <c r="I223" s="32">
        <v>8.04</v>
      </c>
      <c r="J223" s="33"/>
    </row>
    <row r="224">
      <c r="A224" s="31" t="s">
        <v>875</v>
      </c>
      <c r="B224" s="32">
        <v>30.0</v>
      </c>
      <c r="C224" s="31" t="s">
        <v>28</v>
      </c>
      <c r="D224" s="32">
        <v>2.0</v>
      </c>
      <c r="E224" s="34"/>
      <c r="F224" s="34"/>
      <c r="G224" s="34"/>
      <c r="H224" s="34"/>
      <c r="I224" s="34"/>
      <c r="J224" s="33"/>
    </row>
    <row r="225">
      <c r="A225" s="31" t="s">
        <v>878</v>
      </c>
      <c r="B225" s="32">
        <v>30.0</v>
      </c>
      <c r="C225" s="31" t="s">
        <v>28</v>
      </c>
      <c r="D225" s="32">
        <v>3.0</v>
      </c>
      <c r="E225" s="34"/>
      <c r="F225" s="34"/>
      <c r="G225" s="34"/>
      <c r="H225" s="34"/>
      <c r="I225" s="34"/>
      <c r="J225" s="33"/>
    </row>
    <row r="226">
      <c r="A226" s="31" t="s">
        <v>880</v>
      </c>
      <c r="B226" s="32">
        <v>30.0</v>
      </c>
      <c r="C226" s="31" t="s">
        <v>19</v>
      </c>
      <c r="D226" s="32">
        <v>1.0</v>
      </c>
      <c r="E226" s="16">
        <v>46230.0</v>
      </c>
      <c r="F226" s="11" t="s">
        <v>23</v>
      </c>
      <c r="G226" s="11">
        <v>97.9</v>
      </c>
      <c r="H226" s="11">
        <v>10.06</v>
      </c>
      <c r="I226" s="32">
        <v>8.16</v>
      </c>
      <c r="J226" s="33"/>
    </row>
    <row r="227">
      <c r="A227" s="31" t="s">
        <v>881</v>
      </c>
      <c r="B227" s="32">
        <v>30.0</v>
      </c>
      <c r="C227" s="31" t="s">
        <v>19</v>
      </c>
      <c r="D227" s="32">
        <v>2.0</v>
      </c>
      <c r="E227" s="34"/>
      <c r="F227" s="34"/>
      <c r="G227" s="34"/>
      <c r="H227" s="34"/>
      <c r="I227" s="34"/>
      <c r="J227" s="33"/>
    </row>
    <row r="228">
      <c r="A228" s="31" t="s">
        <v>884</v>
      </c>
      <c r="B228" s="32">
        <v>30.0</v>
      </c>
      <c r="C228" s="31" t="s">
        <v>19</v>
      </c>
      <c r="D228" s="32">
        <v>3.0</v>
      </c>
      <c r="E228" s="34"/>
      <c r="F228" s="34"/>
      <c r="G228" s="34"/>
      <c r="H228" s="34"/>
      <c r="I228" s="34"/>
      <c r="J228" s="33"/>
    </row>
    <row r="229">
      <c r="A229" s="31" t="s">
        <v>887</v>
      </c>
      <c r="B229" s="32">
        <v>30.0</v>
      </c>
      <c r="C229" s="31" t="s">
        <v>36</v>
      </c>
      <c r="D229" s="32">
        <v>1.0</v>
      </c>
      <c r="E229" s="16">
        <v>46230.0</v>
      </c>
      <c r="F229" s="11" t="s">
        <v>23</v>
      </c>
      <c r="G229" s="11">
        <v>97.9</v>
      </c>
      <c r="H229" s="11">
        <v>10.06</v>
      </c>
      <c r="I229" s="32">
        <v>8.0</v>
      </c>
      <c r="J229" s="33"/>
    </row>
    <row r="230">
      <c r="A230" s="31" t="s">
        <v>889</v>
      </c>
      <c r="B230" s="32">
        <v>30.0</v>
      </c>
      <c r="C230" s="31" t="s">
        <v>36</v>
      </c>
      <c r="D230" s="32">
        <v>2.0</v>
      </c>
      <c r="E230" s="34"/>
      <c r="F230" s="34"/>
      <c r="G230" s="34"/>
      <c r="H230" s="34"/>
      <c r="I230" s="34"/>
      <c r="J230" s="33"/>
    </row>
    <row r="231">
      <c r="A231" s="31" t="s">
        <v>891</v>
      </c>
      <c r="B231" s="32">
        <v>30.0</v>
      </c>
      <c r="C231" s="31" t="s">
        <v>36</v>
      </c>
      <c r="D231" s="32">
        <v>3.0</v>
      </c>
      <c r="E231" s="34"/>
      <c r="F231" s="34"/>
      <c r="G231" s="34"/>
      <c r="H231" s="34"/>
      <c r="I231" s="34"/>
      <c r="J231" s="33"/>
    </row>
    <row r="232">
      <c r="A232" s="9" t="s">
        <v>893</v>
      </c>
      <c r="B232" s="11">
        <v>31.0</v>
      </c>
      <c r="C232" s="9" t="s">
        <v>28</v>
      </c>
      <c r="D232" s="11">
        <v>2.0</v>
      </c>
      <c r="E232" s="16">
        <v>46231.0</v>
      </c>
      <c r="F232" s="11" t="s">
        <v>23</v>
      </c>
      <c r="G232" s="11">
        <v>97.7</v>
      </c>
      <c r="H232" s="11">
        <v>10.03</v>
      </c>
      <c r="I232" s="11">
        <v>7.98</v>
      </c>
      <c r="J232" s="22"/>
    </row>
    <row r="233">
      <c r="A233" s="9" t="s">
        <v>895</v>
      </c>
      <c r="B233" s="11">
        <v>31.0</v>
      </c>
      <c r="C233" s="9" t="s">
        <v>28</v>
      </c>
      <c r="D233" s="11">
        <v>3.0</v>
      </c>
      <c r="E233" s="30"/>
      <c r="F233" s="30"/>
      <c r="G233" s="30"/>
      <c r="H233" s="30"/>
      <c r="I233" s="30"/>
      <c r="J233" s="22"/>
    </row>
    <row r="234">
      <c r="A234" s="9" t="s">
        <v>898</v>
      </c>
      <c r="B234" s="11">
        <v>31.0</v>
      </c>
      <c r="C234" s="9" t="s">
        <v>19</v>
      </c>
      <c r="D234" s="11">
        <v>1.0</v>
      </c>
      <c r="E234" s="16">
        <v>46231.0</v>
      </c>
      <c r="F234" s="11" t="s">
        <v>23</v>
      </c>
      <c r="G234" s="11">
        <v>97.7</v>
      </c>
      <c r="H234" s="11">
        <v>10.03</v>
      </c>
      <c r="I234" s="11">
        <v>7.92</v>
      </c>
      <c r="J234" s="22"/>
    </row>
    <row r="235">
      <c r="A235" s="9" t="s">
        <v>903</v>
      </c>
      <c r="B235" s="11">
        <v>31.0</v>
      </c>
      <c r="C235" s="9" t="s">
        <v>19</v>
      </c>
      <c r="D235" s="11">
        <v>2.0</v>
      </c>
      <c r="E235" s="30"/>
      <c r="F235" s="30"/>
      <c r="G235" s="30"/>
      <c r="H235" s="30"/>
      <c r="I235" s="30"/>
      <c r="J235" s="22"/>
    </row>
    <row r="236">
      <c r="A236" s="9" t="s">
        <v>914</v>
      </c>
      <c r="B236" s="11">
        <v>31.0</v>
      </c>
      <c r="C236" s="9" t="s">
        <v>36</v>
      </c>
      <c r="D236" s="11">
        <v>1.0</v>
      </c>
      <c r="E236" s="16">
        <v>46231.0</v>
      </c>
      <c r="F236" s="11" t="s">
        <v>23</v>
      </c>
      <c r="G236" s="11">
        <v>97.7</v>
      </c>
      <c r="H236" s="11">
        <v>10.03</v>
      </c>
      <c r="I236" s="11">
        <v>7.9</v>
      </c>
      <c r="J236" s="22"/>
    </row>
    <row r="237">
      <c r="A237" s="9" t="s">
        <v>916</v>
      </c>
      <c r="B237" s="11">
        <v>31.0</v>
      </c>
      <c r="C237" s="9" t="s">
        <v>36</v>
      </c>
      <c r="D237" s="11">
        <v>2.0</v>
      </c>
      <c r="E237" s="30"/>
      <c r="F237" s="30"/>
      <c r="G237" s="30"/>
      <c r="H237" s="30"/>
      <c r="I237" s="30"/>
      <c r="J237" s="22"/>
    </row>
    <row r="238">
      <c r="A238" s="9" t="s">
        <v>918</v>
      </c>
      <c r="B238" s="11">
        <v>31.0</v>
      </c>
      <c r="C238" s="9" t="s">
        <v>36</v>
      </c>
      <c r="D238" s="11">
        <v>3.0</v>
      </c>
      <c r="E238" s="30"/>
      <c r="F238" s="30"/>
      <c r="G238" s="30"/>
      <c r="H238" s="30"/>
      <c r="I238" s="30"/>
      <c r="J238" s="22"/>
    </row>
    <row r="239">
      <c r="A239" s="31" t="s">
        <v>920</v>
      </c>
      <c r="B239" s="32">
        <v>32.0</v>
      </c>
      <c r="C239" s="31" t="s">
        <v>28</v>
      </c>
      <c r="D239" s="32">
        <v>1.0</v>
      </c>
      <c r="E239" s="16">
        <v>46231.0</v>
      </c>
      <c r="F239" s="11" t="s">
        <v>23</v>
      </c>
      <c r="G239" s="11">
        <v>97.7</v>
      </c>
      <c r="H239" s="11">
        <v>10.03</v>
      </c>
      <c r="I239" s="32">
        <v>7.82</v>
      </c>
      <c r="J239" s="33"/>
    </row>
    <row r="240">
      <c r="A240" s="31" t="s">
        <v>923</v>
      </c>
      <c r="B240" s="32">
        <v>32.0</v>
      </c>
      <c r="C240" s="31" t="s">
        <v>28</v>
      </c>
      <c r="D240" s="32">
        <v>2.0</v>
      </c>
      <c r="E240" s="34"/>
      <c r="F240" s="34"/>
      <c r="G240" s="34"/>
      <c r="H240" s="34"/>
      <c r="I240" s="34"/>
      <c r="J240" s="33"/>
    </row>
    <row r="241">
      <c r="A241" s="31" t="s">
        <v>924</v>
      </c>
      <c r="B241" s="32">
        <v>32.0</v>
      </c>
      <c r="C241" s="31" t="s">
        <v>28</v>
      </c>
      <c r="D241" s="32">
        <v>3.0</v>
      </c>
      <c r="E241" s="34"/>
      <c r="F241" s="34"/>
      <c r="G241" s="34"/>
      <c r="H241" s="34"/>
      <c r="I241" s="34"/>
      <c r="J241" s="33"/>
    </row>
    <row r="242">
      <c r="A242" s="31" t="s">
        <v>926</v>
      </c>
      <c r="B242" s="32">
        <v>32.0</v>
      </c>
      <c r="C242" s="31" t="s">
        <v>19</v>
      </c>
      <c r="D242" s="32">
        <v>1.0</v>
      </c>
      <c r="E242" s="16">
        <v>46231.0</v>
      </c>
      <c r="F242" s="11" t="s">
        <v>23</v>
      </c>
      <c r="G242" s="11">
        <v>97.7</v>
      </c>
      <c r="H242" s="11">
        <v>10.03</v>
      </c>
      <c r="I242" s="32">
        <v>7.93</v>
      </c>
      <c r="J242" s="33"/>
    </row>
    <row r="243">
      <c r="A243" s="31" t="s">
        <v>929</v>
      </c>
      <c r="B243" s="32">
        <v>32.0</v>
      </c>
      <c r="C243" s="31" t="s">
        <v>19</v>
      </c>
      <c r="D243" s="32">
        <v>2.0</v>
      </c>
      <c r="E243" s="34"/>
      <c r="F243" s="34"/>
      <c r="G243" s="34"/>
      <c r="H243" s="34"/>
      <c r="I243" s="34"/>
      <c r="J243" s="33"/>
    </row>
    <row r="244">
      <c r="A244" s="31" t="s">
        <v>930</v>
      </c>
      <c r="B244" s="32">
        <v>32.0</v>
      </c>
      <c r="C244" s="31" t="s">
        <v>19</v>
      </c>
      <c r="D244" s="32">
        <v>3.0</v>
      </c>
      <c r="E244" s="34"/>
      <c r="F244" s="34"/>
      <c r="G244" s="34"/>
      <c r="H244" s="34"/>
      <c r="I244" s="34"/>
      <c r="J244" s="33"/>
    </row>
    <row r="245">
      <c r="A245" s="31" t="s">
        <v>934</v>
      </c>
      <c r="B245" s="32">
        <v>32.0</v>
      </c>
      <c r="C245" s="31" t="s">
        <v>36</v>
      </c>
      <c r="D245" s="32">
        <v>1.0</v>
      </c>
      <c r="E245" s="16">
        <v>46231.0</v>
      </c>
      <c r="F245" s="11" t="s">
        <v>23</v>
      </c>
      <c r="G245" s="11">
        <v>97.7</v>
      </c>
      <c r="H245" s="11">
        <v>10.03</v>
      </c>
      <c r="I245" s="32">
        <v>7.89</v>
      </c>
      <c r="J245" s="33"/>
    </row>
    <row r="246">
      <c r="A246" s="31" t="s">
        <v>936</v>
      </c>
      <c r="B246" s="32">
        <v>32.0</v>
      </c>
      <c r="C246" s="31" t="s">
        <v>36</v>
      </c>
      <c r="D246" s="32">
        <v>2.0</v>
      </c>
      <c r="E246" s="34"/>
      <c r="F246" s="34"/>
      <c r="G246" s="34"/>
      <c r="H246" s="34"/>
      <c r="I246" s="34"/>
      <c r="J246" s="33"/>
    </row>
    <row r="247">
      <c r="A247" s="31" t="s">
        <v>938</v>
      </c>
      <c r="B247" s="32">
        <v>32.0</v>
      </c>
      <c r="C247" s="31" t="s">
        <v>36</v>
      </c>
      <c r="D247" s="32">
        <v>3.0</v>
      </c>
      <c r="E247" s="34"/>
      <c r="F247" s="34"/>
      <c r="G247" s="34"/>
      <c r="H247" s="34"/>
      <c r="I247" s="34"/>
      <c r="J247" s="33"/>
    </row>
    <row r="248">
      <c r="A248" s="9" t="s">
        <v>940</v>
      </c>
      <c r="B248" s="11">
        <v>33.0</v>
      </c>
      <c r="C248" s="9" t="s">
        <v>28</v>
      </c>
      <c r="D248" s="11">
        <v>1.0</v>
      </c>
      <c r="E248" s="16">
        <v>46231.0</v>
      </c>
      <c r="F248" s="11" t="s">
        <v>23</v>
      </c>
      <c r="G248" s="11">
        <v>97.7</v>
      </c>
      <c r="H248" s="11">
        <v>10.03</v>
      </c>
      <c r="I248" s="11">
        <v>7.93</v>
      </c>
      <c r="J248" s="22"/>
    </row>
    <row r="249">
      <c r="A249" s="9" t="s">
        <v>942</v>
      </c>
      <c r="B249" s="11">
        <v>33.0</v>
      </c>
      <c r="C249" s="9" t="s">
        <v>28</v>
      </c>
      <c r="D249" s="11">
        <v>2.0</v>
      </c>
      <c r="E249" s="30"/>
      <c r="F249" s="30"/>
      <c r="G249" s="30"/>
      <c r="H249" s="30"/>
      <c r="I249" s="30"/>
      <c r="J249" s="22"/>
    </row>
    <row r="250">
      <c r="A250" s="9" t="s">
        <v>944</v>
      </c>
      <c r="B250" s="11">
        <v>33.0</v>
      </c>
      <c r="C250" s="9" t="s">
        <v>28</v>
      </c>
      <c r="D250" s="11">
        <v>3.0</v>
      </c>
      <c r="E250" s="30"/>
      <c r="F250" s="30"/>
      <c r="G250" s="30"/>
      <c r="H250" s="30"/>
      <c r="I250" s="30"/>
      <c r="J250" s="22"/>
    </row>
    <row r="251">
      <c r="A251" s="9" t="s">
        <v>947</v>
      </c>
      <c r="B251" s="11">
        <v>33.0</v>
      </c>
      <c r="C251" s="9" t="s">
        <v>19</v>
      </c>
      <c r="D251" s="11">
        <v>1.0</v>
      </c>
      <c r="E251" s="16">
        <v>46231.0</v>
      </c>
      <c r="F251" s="11" t="s">
        <v>23</v>
      </c>
      <c r="G251" s="11">
        <v>97.7</v>
      </c>
      <c r="H251" s="11">
        <v>10.03</v>
      </c>
      <c r="I251" s="11">
        <v>8.01</v>
      </c>
      <c r="J251" s="22"/>
    </row>
    <row r="252">
      <c r="A252" s="9" t="s">
        <v>949</v>
      </c>
      <c r="B252" s="11">
        <v>33.0</v>
      </c>
      <c r="C252" s="9" t="s">
        <v>19</v>
      </c>
      <c r="D252" s="11">
        <v>2.0</v>
      </c>
      <c r="E252" s="30"/>
      <c r="F252" s="30"/>
      <c r="G252" s="30"/>
      <c r="H252" s="30"/>
      <c r="I252" s="30"/>
      <c r="J252" s="22"/>
    </row>
    <row r="253">
      <c r="A253" s="9" t="s">
        <v>952</v>
      </c>
      <c r="B253" s="11">
        <v>33.0</v>
      </c>
      <c r="C253" s="9" t="s">
        <v>19</v>
      </c>
      <c r="D253" s="11">
        <v>3.0</v>
      </c>
      <c r="E253" s="30"/>
      <c r="F253" s="30"/>
      <c r="G253" s="30"/>
      <c r="H253" s="30"/>
      <c r="I253" s="30"/>
      <c r="J253" s="22"/>
    </row>
    <row r="254">
      <c r="A254" s="9" t="s">
        <v>953</v>
      </c>
      <c r="B254" s="11">
        <v>33.0</v>
      </c>
      <c r="C254" s="9" t="s">
        <v>36</v>
      </c>
      <c r="D254" s="11">
        <v>2.0</v>
      </c>
      <c r="E254" s="16">
        <v>46231.0</v>
      </c>
      <c r="F254" s="11" t="s">
        <v>23</v>
      </c>
      <c r="G254" s="11">
        <v>97.7</v>
      </c>
      <c r="H254" s="11">
        <v>10.03</v>
      </c>
      <c r="I254" s="11">
        <v>7.87</v>
      </c>
      <c r="J254" s="22"/>
    </row>
    <row r="255">
      <c r="A255" s="9" t="s">
        <v>956</v>
      </c>
      <c r="B255" s="11">
        <v>33.0</v>
      </c>
      <c r="C255" s="9" t="s">
        <v>36</v>
      </c>
      <c r="D255" s="11">
        <v>3.0</v>
      </c>
      <c r="E255" s="30"/>
      <c r="F255" s="30"/>
      <c r="G255" s="30"/>
      <c r="H255" s="30"/>
      <c r="I255" s="30"/>
      <c r="J255" s="22"/>
    </row>
    <row r="256">
      <c r="A256" s="31" t="s">
        <v>958</v>
      </c>
      <c r="B256" s="32">
        <v>34.0</v>
      </c>
      <c r="C256" s="31" t="s">
        <v>28</v>
      </c>
      <c r="D256" s="32">
        <v>1.0</v>
      </c>
      <c r="E256" s="16">
        <v>46231.0</v>
      </c>
      <c r="F256" s="11" t="s">
        <v>23</v>
      </c>
      <c r="G256" s="11">
        <v>97.7</v>
      </c>
      <c r="H256" s="11">
        <v>10.03</v>
      </c>
      <c r="I256" s="32">
        <v>7.8</v>
      </c>
      <c r="J256" s="33"/>
    </row>
    <row r="257">
      <c r="A257" s="31" t="s">
        <v>961</v>
      </c>
      <c r="B257" s="32">
        <v>34.0</v>
      </c>
      <c r="C257" s="31" t="s">
        <v>28</v>
      </c>
      <c r="D257" s="32">
        <v>2.0</v>
      </c>
      <c r="E257" s="34"/>
      <c r="F257" s="34"/>
      <c r="G257" s="34"/>
      <c r="H257" s="34"/>
      <c r="I257" s="34"/>
      <c r="J257" s="33"/>
    </row>
    <row r="258">
      <c r="A258" s="31" t="s">
        <v>963</v>
      </c>
      <c r="B258" s="32">
        <v>34.0</v>
      </c>
      <c r="C258" s="31" t="s">
        <v>28</v>
      </c>
      <c r="D258" s="32">
        <v>3.0</v>
      </c>
      <c r="E258" s="34"/>
      <c r="F258" s="34"/>
      <c r="G258" s="34"/>
      <c r="H258" s="34"/>
      <c r="I258" s="34"/>
      <c r="J258" s="33"/>
    </row>
    <row r="259">
      <c r="A259" s="31" t="s">
        <v>966</v>
      </c>
      <c r="B259" s="32">
        <v>34.0</v>
      </c>
      <c r="C259" s="31" t="s">
        <v>19</v>
      </c>
      <c r="D259" s="32">
        <v>1.0</v>
      </c>
      <c r="E259" s="16">
        <v>46231.0</v>
      </c>
      <c r="F259" s="11" t="s">
        <v>23</v>
      </c>
      <c r="G259" s="11">
        <v>97.7</v>
      </c>
      <c r="H259" s="11">
        <v>10.03</v>
      </c>
      <c r="I259" s="32">
        <v>7.79</v>
      </c>
      <c r="J259" s="33"/>
    </row>
    <row r="260">
      <c r="A260" s="31" t="s">
        <v>968</v>
      </c>
      <c r="B260" s="32">
        <v>34.0</v>
      </c>
      <c r="C260" s="31" t="s">
        <v>19</v>
      </c>
      <c r="D260" s="32">
        <v>2.0</v>
      </c>
      <c r="E260" s="34"/>
      <c r="F260" s="34"/>
      <c r="G260" s="34"/>
      <c r="H260" s="34"/>
      <c r="I260" s="34"/>
      <c r="J260" s="33"/>
    </row>
    <row r="261">
      <c r="A261" s="31" t="s">
        <v>971</v>
      </c>
      <c r="B261" s="32">
        <v>34.0</v>
      </c>
      <c r="C261" s="31" t="s">
        <v>19</v>
      </c>
      <c r="D261" s="32">
        <v>3.0</v>
      </c>
      <c r="E261" s="34"/>
      <c r="F261" s="34"/>
      <c r="G261" s="34"/>
      <c r="H261" s="34"/>
      <c r="I261" s="34"/>
      <c r="J261" s="33"/>
    </row>
    <row r="262">
      <c r="A262" s="31" t="s">
        <v>972</v>
      </c>
      <c r="B262" s="32">
        <v>34.0</v>
      </c>
      <c r="C262" s="31" t="s">
        <v>36</v>
      </c>
      <c r="D262" s="32">
        <v>1.0</v>
      </c>
      <c r="E262" s="16">
        <v>46231.0</v>
      </c>
      <c r="F262" s="11" t="s">
        <v>23</v>
      </c>
      <c r="G262" s="11">
        <v>97.7</v>
      </c>
      <c r="H262" s="11">
        <v>10.03</v>
      </c>
      <c r="I262" s="32">
        <v>7.71</v>
      </c>
      <c r="J262" s="33"/>
    </row>
    <row r="263">
      <c r="A263" s="31" t="s">
        <v>974</v>
      </c>
      <c r="B263" s="32">
        <v>34.0</v>
      </c>
      <c r="C263" s="31" t="s">
        <v>36</v>
      </c>
      <c r="D263" s="32">
        <v>2.0</v>
      </c>
      <c r="E263" s="34"/>
      <c r="F263" s="34"/>
      <c r="G263" s="34"/>
      <c r="H263" s="34"/>
      <c r="I263" s="34"/>
      <c r="J263" s="33"/>
    </row>
    <row r="264">
      <c r="A264" s="31" t="s">
        <v>977</v>
      </c>
      <c r="B264" s="32">
        <v>34.0</v>
      </c>
      <c r="C264" s="31" t="s">
        <v>36</v>
      </c>
      <c r="D264" s="32">
        <v>3.0</v>
      </c>
      <c r="E264" s="34"/>
      <c r="F264" s="34"/>
      <c r="G264" s="34"/>
      <c r="H264" s="34"/>
      <c r="I264" s="34"/>
      <c r="J264" s="33"/>
    </row>
    <row r="265">
      <c r="A265" s="9" t="s">
        <v>979</v>
      </c>
      <c r="B265" s="11">
        <v>35.0</v>
      </c>
      <c r="C265" s="9" t="s">
        <v>28</v>
      </c>
      <c r="D265" s="11">
        <v>1.0</v>
      </c>
      <c r="E265" s="16">
        <v>46231.0</v>
      </c>
      <c r="F265" s="11" t="s">
        <v>23</v>
      </c>
      <c r="G265" s="11">
        <v>97.7</v>
      </c>
      <c r="H265" s="11">
        <v>10.03</v>
      </c>
      <c r="I265" s="11">
        <v>8.02</v>
      </c>
      <c r="J265" s="22"/>
    </row>
    <row r="266">
      <c r="A266" s="9" t="s">
        <v>982</v>
      </c>
      <c r="B266" s="11">
        <v>35.0</v>
      </c>
      <c r="C266" s="9" t="s">
        <v>28</v>
      </c>
      <c r="D266" s="11">
        <v>2.0</v>
      </c>
      <c r="E266" s="30"/>
      <c r="F266" s="30"/>
      <c r="G266" s="30"/>
      <c r="H266" s="30"/>
      <c r="I266" s="30"/>
      <c r="J266" s="22"/>
    </row>
    <row r="267">
      <c r="A267" s="9" t="s">
        <v>986</v>
      </c>
      <c r="B267" s="11">
        <v>35.0</v>
      </c>
      <c r="C267" s="9" t="s">
        <v>28</v>
      </c>
      <c r="D267" s="11">
        <v>3.0</v>
      </c>
      <c r="E267" s="30"/>
      <c r="F267" s="30"/>
      <c r="G267" s="30"/>
      <c r="H267" s="30"/>
      <c r="I267" s="30"/>
      <c r="J267" s="22"/>
    </row>
    <row r="268">
      <c r="A268" s="9" t="s">
        <v>991</v>
      </c>
      <c r="B268" s="11">
        <v>35.0</v>
      </c>
      <c r="C268" s="9" t="s">
        <v>19</v>
      </c>
      <c r="D268" s="11">
        <v>1.0</v>
      </c>
      <c r="E268" s="16">
        <v>46231.0</v>
      </c>
      <c r="F268" s="11" t="s">
        <v>23</v>
      </c>
      <c r="G268" s="11">
        <v>97.7</v>
      </c>
      <c r="H268" s="11">
        <v>10.03</v>
      </c>
      <c r="I268" s="11">
        <v>8.17</v>
      </c>
      <c r="J268" s="22"/>
    </row>
    <row r="269">
      <c r="A269" s="9" t="s">
        <v>997</v>
      </c>
      <c r="B269" s="11">
        <v>35.0</v>
      </c>
      <c r="C269" s="9" t="s">
        <v>19</v>
      </c>
      <c r="D269" s="11">
        <v>2.0</v>
      </c>
      <c r="E269" s="30"/>
      <c r="F269" s="30"/>
      <c r="G269" s="30"/>
      <c r="H269" s="30"/>
      <c r="I269" s="30"/>
      <c r="J269" s="22"/>
    </row>
    <row r="270">
      <c r="A270" s="9" t="s">
        <v>999</v>
      </c>
      <c r="B270" s="11">
        <v>35.0</v>
      </c>
      <c r="C270" s="9" t="s">
        <v>19</v>
      </c>
      <c r="D270" s="11">
        <v>3.0</v>
      </c>
      <c r="E270" s="30"/>
      <c r="F270" s="30"/>
      <c r="G270" s="30"/>
      <c r="H270" s="30"/>
      <c r="I270" s="30"/>
      <c r="J270" s="22"/>
    </row>
    <row r="271">
      <c r="A271" s="9" t="s">
        <v>1002</v>
      </c>
      <c r="B271" s="11">
        <v>35.0</v>
      </c>
      <c r="C271" s="9" t="s">
        <v>36</v>
      </c>
      <c r="D271" s="11">
        <v>1.0</v>
      </c>
      <c r="E271" s="16">
        <v>46231.0</v>
      </c>
      <c r="F271" s="11" t="s">
        <v>23</v>
      </c>
      <c r="G271" s="11">
        <v>97.7</v>
      </c>
      <c r="H271" s="11">
        <v>10.03</v>
      </c>
      <c r="I271" s="11">
        <v>7.97</v>
      </c>
      <c r="J271" s="22"/>
    </row>
    <row r="272">
      <c r="A272" s="9" t="s">
        <v>1004</v>
      </c>
      <c r="B272" s="11">
        <v>35.0</v>
      </c>
      <c r="C272" s="9" t="s">
        <v>36</v>
      </c>
      <c r="D272" s="11">
        <v>2.0</v>
      </c>
      <c r="E272" s="30"/>
      <c r="F272" s="30"/>
      <c r="G272" s="30"/>
      <c r="H272" s="30"/>
      <c r="I272" s="30"/>
      <c r="J272" s="22"/>
    </row>
    <row r="273">
      <c r="A273" s="9" t="s">
        <v>1006</v>
      </c>
      <c r="B273" s="11">
        <v>35.0</v>
      </c>
      <c r="C273" s="9" t="s">
        <v>36</v>
      </c>
      <c r="D273" s="11">
        <v>3.0</v>
      </c>
      <c r="E273" s="30"/>
      <c r="F273" s="30"/>
      <c r="G273" s="30"/>
      <c r="H273" s="30"/>
      <c r="I273" s="30"/>
      <c r="J273" s="22"/>
    </row>
    <row r="274">
      <c r="A274" s="31" t="s">
        <v>1010</v>
      </c>
      <c r="B274" s="32">
        <v>36.0</v>
      </c>
      <c r="C274" s="31" t="s">
        <v>28</v>
      </c>
      <c r="D274" s="32">
        <v>1.0</v>
      </c>
      <c r="E274" s="16">
        <v>46231.0</v>
      </c>
      <c r="F274" s="11" t="s">
        <v>23</v>
      </c>
      <c r="G274" s="11">
        <v>97.7</v>
      </c>
      <c r="H274" s="11">
        <v>10.03</v>
      </c>
      <c r="I274" s="32">
        <v>7.88</v>
      </c>
      <c r="J274" s="33"/>
    </row>
    <row r="275">
      <c r="A275" s="31" t="s">
        <v>1014</v>
      </c>
      <c r="B275" s="32">
        <v>36.0</v>
      </c>
      <c r="C275" s="31" t="s">
        <v>28</v>
      </c>
      <c r="D275" s="32">
        <v>2.0</v>
      </c>
      <c r="E275" s="34"/>
      <c r="F275" s="34"/>
      <c r="G275" s="34"/>
      <c r="H275" s="34"/>
      <c r="I275" s="34"/>
      <c r="J275" s="33"/>
    </row>
    <row r="276">
      <c r="A276" s="31" t="s">
        <v>1017</v>
      </c>
      <c r="B276" s="32">
        <v>36.0</v>
      </c>
      <c r="C276" s="31" t="s">
        <v>19</v>
      </c>
      <c r="D276" s="32">
        <v>1.0</v>
      </c>
      <c r="E276" s="16">
        <v>46231.0</v>
      </c>
      <c r="F276" s="11" t="s">
        <v>23</v>
      </c>
      <c r="G276" s="11">
        <v>97.7</v>
      </c>
      <c r="H276" s="11">
        <v>10.03</v>
      </c>
      <c r="I276" s="32">
        <v>8.07</v>
      </c>
      <c r="J276" s="33"/>
    </row>
    <row r="277">
      <c r="A277" s="31" t="s">
        <v>1023</v>
      </c>
      <c r="B277" s="32">
        <v>36.0</v>
      </c>
      <c r="C277" s="31" t="s">
        <v>19</v>
      </c>
      <c r="D277" s="32">
        <v>2.0</v>
      </c>
      <c r="E277" s="34"/>
      <c r="F277" s="34"/>
      <c r="G277" s="34"/>
      <c r="H277" s="34"/>
      <c r="I277" s="34"/>
      <c r="J277" s="33"/>
    </row>
    <row r="278">
      <c r="A278" s="31" t="s">
        <v>1025</v>
      </c>
      <c r="B278" s="32">
        <v>36.0</v>
      </c>
      <c r="C278" s="31" t="s">
        <v>19</v>
      </c>
      <c r="D278" s="32">
        <v>3.0</v>
      </c>
      <c r="E278" s="34"/>
      <c r="F278" s="34"/>
      <c r="G278" s="34"/>
      <c r="H278" s="34"/>
      <c r="I278" s="34"/>
      <c r="J278" s="33"/>
    </row>
    <row r="279">
      <c r="A279" s="31" t="s">
        <v>1026</v>
      </c>
      <c r="B279" s="32">
        <v>36.0</v>
      </c>
      <c r="C279" s="31" t="s">
        <v>36</v>
      </c>
      <c r="D279" s="32">
        <v>1.0</v>
      </c>
      <c r="E279" s="16">
        <v>46231.0</v>
      </c>
      <c r="F279" s="11" t="s">
        <v>23</v>
      </c>
      <c r="G279" s="11">
        <v>97.7</v>
      </c>
      <c r="H279" s="11">
        <v>10.03</v>
      </c>
      <c r="I279" s="32">
        <v>7.86</v>
      </c>
      <c r="J279" s="33"/>
    </row>
    <row r="280">
      <c r="A280" s="31" t="s">
        <v>1029</v>
      </c>
      <c r="B280" s="32">
        <v>36.0</v>
      </c>
      <c r="C280" s="31" t="s">
        <v>36</v>
      </c>
      <c r="D280" s="32">
        <v>2.0</v>
      </c>
      <c r="E280" s="34"/>
      <c r="F280" s="34"/>
      <c r="G280" s="34"/>
      <c r="H280" s="34"/>
      <c r="I280" s="34"/>
      <c r="J280" s="33"/>
    </row>
    <row r="281">
      <c r="A281" s="31" t="s">
        <v>1032</v>
      </c>
      <c r="B281" s="32">
        <v>36.0</v>
      </c>
      <c r="C281" s="31" t="s">
        <v>36</v>
      </c>
      <c r="D281" s="32">
        <v>3.0</v>
      </c>
      <c r="E281" s="34"/>
      <c r="F281" s="34"/>
      <c r="G281" s="34"/>
      <c r="H281" s="34"/>
      <c r="I281" s="34"/>
      <c r="J281" s="33"/>
    </row>
    <row r="282">
      <c r="A282" s="9" t="s">
        <v>1035</v>
      </c>
      <c r="B282" s="11">
        <v>37.0</v>
      </c>
      <c r="C282" s="9" t="s">
        <v>28</v>
      </c>
      <c r="D282" s="11">
        <v>1.0</v>
      </c>
      <c r="E282" s="16">
        <v>46231.0</v>
      </c>
      <c r="F282" s="11" t="s">
        <v>23</v>
      </c>
      <c r="G282" s="11">
        <v>97.7</v>
      </c>
      <c r="H282" s="11">
        <v>10.03</v>
      </c>
      <c r="I282" s="11">
        <v>7.98</v>
      </c>
      <c r="J282" s="22"/>
    </row>
    <row r="283">
      <c r="A283" s="9" t="s">
        <v>1037</v>
      </c>
      <c r="B283" s="11">
        <v>37.0</v>
      </c>
      <c r="C283" s="9" t="s">
        <v>28</v>
      </c>
      <c r="D283" s="11">
        <v>2.0</v>
      </c>
      <c r="E283" s="30"/>
      <c r="F283" s="30"/>
      <c r="G283" s="30"/>
      <c r="H283" s="30"/>
      <c r="I283" s="30"/>
      <c r="J283" s="22"/>
    </row>
    <row r="284">
      <c r="A284" s="9" t="s">
        <v>1040</v>
      </c>
      <c r="B284" s="11">
        <v>37.0</v>
      </c>
      <c r="C284" s="9" t="s">
        <v>28</v>
      </c>
      <c r="D284" s="11">
        <v>3.0</v>
      </c>
      <c r="E284" s="30"/>
      <c r="F284" s="30"/>
      <c r="G284" s="30"/>
      <c r="H284" s="30"/>
      <c r="I284" s="30"/>
      <c r="J284" s="22"/>
    </row>
    <row r="285">
      <c r="A285" s="9" t="s">
        <v>1043</v>
      </c>
      <c r="B285" s="11">
        <v>37.0</v>
      </c>
      <c r="C285" s="9" t="s">
        <v>19</v>
      </c>
      <c r="D285" s="11">
        <v>1.0</v>
      </c>
      <c r="E285" s="16">
        <v>46231.0</v>
      </c>
      <c r="F285" s="11" t="s">
        <v>23</v>
      </c>
      <c r="G285" s="11">
        <v>97.7</v>
      </c>
      <c r="H285" s="11">
        <v>10.03</v>
      </c>
      <c r="I285" s="11">
        <v>8.09</v>
      </c>
      <c r="J285" s="22"/>
    </row>
    <row r="286">
      <c r="A286" s="9" t="s">
        <v>1045</v>
      </c>
      <c r="B286" s="11">
        <v>37.0</v>
      </c>
      <c r="C286" s="9" t="s">
        <v>19</v>
      </c>
      <c r="D286" s="11">
        <v>2.0</v>
      </c>
      <c r="E286" s="30"/>
      <c r="F286" s="30"/>
      <c r="G286" s="30"/>
      <c r="H286" s="30"/>
      <c r="I286" s="30"/>
      <c r="J286" s="22"/>
    </row>
    <row r="287">
      <c r="A287" s="9" t="s">
        <v>1047</v>
      </c>
      <c r="B287" s="11">
        <v>37.0</v>
      </c>
      <c r="C287" s="9" t="s">
        <v>19</v>
      </c>
      <c r="D287" s="11">
        <v>3.0</v>
      </c>
      <c r="E287" s="30"/>
      <c r="F287" s="30"/>
      <c r="G287" s="30"/>
      <c r="H287" s="30"/>
      <c r="I287" s="30"/>
      <c r="J287" s="22"/>
    </row>
    <row r="288">
      <c r="A288" s="9" t="s">
        <v>1050</v>
      </c>
      <c r="B288" s="11">
        <v>37.0</v>
      </c>
      <c r="C288" s="9" t="s">
        <v>36</v>
      </c>
      <c r="D288" s="11">
        <v>1.0</v>
      </c>
      <c r="E288" s="16">
        <v>46231.0</v>
      </c>
      <c r="F288" s="11" t="s">
        <v>23</v>
      </c>
      <c r="G288" s="11">
        <v>97.7</v>
      </c>
      <c r="H288" s="11">
        <v>10.03</v>
      </c>
      <c r="I288" s="11">
        <v>8.01</v>
      </c>
      <c r="J288" s="22"/>
    </row>
    <row r="289">
      <c r="A289" s="9" t="s">
        <v>1052</v>
      </c>
      <c r="B289" s="11">
        <v>37.0</v>
      </c>
      <c r="C289" s="9" t="s">
        <v>36</v>
      </c>
      <c r="D289" s="11">
        <v>2.0</v>
      </c>
      <c r="E289" s="30"/>
      <c r="F289" s="30"/>
      <c r="G289" s="30"/>
      <c r="H289" s="30"/>
      <c r="I289" s="30"/>
      <c r="J289" s="22"/>
    </row>
    <row r="290">
      <c r="A290" s="9" t="s">
        <v>1054</v>
      </c>
      <c r="B290" s="11">
        <v>37.0</v>
      </c>
      <c r="C290" s="9" t="s">
        <v>36</v>
      </c>
      <c r="D290" s="11">
        <v>3.0</v>
      </c>
      <c r="E290" s="30"/>
      <c r="F290" s="30"/>
      <c r="G290" s="30"/>
      <c r="H290" s="30"/>
      <c r="I290" s="30"/>
      <c r="J290" s="22"/>
    </row>
    <row r="291">
      <c r="A291" s="31" t="s">
        <v>1057</v>
      </c>
      <c r="B291" s="32">
        <v>38.0</v>
      </c>
      <c r="C291" s="31" t="s">
        <v>28</v>
      </c>
      <c r="D291" s="32">
        <v>1.0</v>
      </c>
      <c r="E291" s="16">
        <v>46231.0</v>
      </c>
      <c r="F291" s="11" t="s">
        <v>23</v>
      </c>
      <c r="G291" s="11">
        <v>97.7</v>
      </c>
      <c r="H291" s="11">
        <v>10.03</v>
      </c>
      <c r="I291" s="32">
        <v>7.83</v>
      </c>
      <c r="J291" s="33"/>
    </row>
    <row r="292">
      <c r="A292" s="31" t="s">
        <v>1060</v>
      </c>
      <c r="B292" s="32">
        <v>38.0</v>
      </c>
      <c r="C292" s="31" t="s">
        <v>28</v>
      </c>
      <c r="D292" s="32">
        <v>2.0</v>
      </c>
      <c r="E292" s="34"/>
      <c r="F292" s="34"/>
      <c r="G292" s="34"/>
      <c r="H292" s="34"/>
      <c r="I292" s="34"/>
      <c r="J292" s="33"/>
    </row>
    <row r="293">
      <c r="A293" s="31" t="s">
        <v>1061</v>
      </c>
      <c r="B293" s="32">
        <v>38.0</v>
      </c>
      <c r="C293" s="31" t="s">
        <v>28</v>
      </c>
      <c r="D293" s="32">
        <v>3.0</v>
      </c>
      <c r="E293" s="34"/>
      <c r="F293" s="34"/>
      <c r="G293" s="34"/>
      <c r="H293" s="34"/>
      <c r="I293" s="34"/>
      <c r="J293" s="33"/>
    </row>
    <row r="294">
      <c r="A294" s="31" t="s">
        <v>1063</v>
      </c>
      <c r="B294" s="32">
        <v>38.0</v>
      </c>
      <c r="C294" s="31" t="s">
        <v>19</v>
      </c>
      <c r="D294" s="32">
        <v>2.0</v>
      </c>
      <c r="E294" s="16">
        <v>46231.0</v>
      </c>
      <c r="F294" s="11" t="s">
        <v>23</v>
      </c>
      <c r="G294" s="11">
        <v>97.7</v>
      </c>
      <c r="H294" s="11">
        <v>10.03</v>
      </c>
      <c r="I294" s="32">
        <v>8.03</v>
      </c>
      <c r="J294" s="33"/>
    </row>
    <row r="295">
      <c r="A295" s="31" t="s">
        <v>1066</v>
      </c>
      <c r="B295" s="32">
        <v>38.0</v>
      </c>
      <c r="C295" s="31" t="s">
        <v>19</v>
      </c>
      <c r="D295" s="32">
        <v>3.0</v>
      </c>
      <c r="E295" s="34"/>
      <c r="F295" s="34"/>
      <c r="G295" s="34"/>
      <c r="H295" s="34"/>
      <c r="I295" s="34"/>
      <c r="J295" s="33"/>
    </row>
    <row r="296">
      <c r="A296" s="31" t="s">
        <v>1069</v>
      </c>
      <c r="B296" s="32">
        <v>38.0</v>
      </c>
      <c r="C296" s="31" t="s">
        <v>36</v>
      </c>
      <c r="D296" s="32">
        <v>1.0</v>
      </c>
      <c r="E296" s="16">
        <v>46231.0</v>
      </c>
      <c r="F296" s="11" t="s">
        <v>23</v>
      </c>
      <c r="G296" s="11">
        <v>97.7</v>
      </c>
      <c r="H296" s="11">
        <v>10.03</v>
      </c>
      <c r="I296" s="32">
        <v>7.88</v>
      </c>
      <c r="J296" s="33"/>
    </row>
    <row r="297">
      <c r="A297" s="31" t="s">
        <v>1071</v>
      </c>
      <c r="B297" s="32">
        <v>38.0</v>
      </c>
      <c r="C297" s="31" t="s">
        <v>36</v>
      </c>
      <c r="D297" s="32">
        <v>2.0</v>
      </c>
      <c r="E297" s="34"/>
      <c r="F297" s="34"/>
      <c r="G297" s="34"/>
      <c r="H297" s="34"/>
      <c r="I297" s="34"/>
      <c r="J297" s="33"/>
    </row>
    <row r="298">
      <c r="A298" s="31" t="s">
        <v>1073</v>
      </c>
      <c r="B298" s="32">
        <v>38.0</v>
      </c>
      <c r="C298" s="31" t="s">
        <v>36</v>
      </c>
      <c r="D298" s="32">
        <v>3.0</v>
      </c>
      <c r="E298" s="34"/>
      <c r="F298" s="34"/>
      <c r="G298" s="34"/>
      <c r="H298" s="34"/>
      <c r="I298" s="34"/>
      <c r="J298" s="33"/>
    </row>
    <row r="299">
      <c r="A299" s="9" t="s">
        <v>1075</v>
      </c>
      <c r="B299" s="11">
        <v>39.0</v>
      </c>
      <c r="C299" s="9" t="s">
        <v>28</v>
      </c>
      <c r="D299" s="11">
        <v>1.0</v>
      </c>
      <c r="E299" s="16">
        <v>46231.0</v>
      </c>
      <c r="F299" s="11" t="s">
        <v>23</v>
      </c>
      <c r="G299" s="11">
        <v>97.7</v>
      </c>
      <c r="H299" s="11">
        <v>10.03</v>
      </c>
      <c r="I299" s="11">
        <v>7.91</v>
      </c>
      <c r="J299" s="22"/>
    </row>
    <row r="300">
      <c r="A300" s="9" t="s">
        <v>1078</v>
      </c>
      <c r="B300" s="11">
        <v>39.0</v>
      </c>
      <c r="C300" s="9" t="s">
        <v>28</v>
      </c>
      <c r="D300" s="11">
        <v>2.0</v>
      </c>
      <c r="E300" s="30"/>
      <c r="F300" s="30"/>
      <c r="G300" s="30"/>
      <c r="H300" s="30"/>
      <c r="I300" s="30"/>
      <c r="J300" s="22"/>
    </row>
    <row r="301">
      <c r="A301" s="9" t="s">
        <v>1084</v>
      </c>
      <c r="B301" s="11">
        <v>39.0</v>
      </c>
      <c r="C301" s="9" t="s">
        <v>28</v>
      </c>
      <c r="D301" s="11">
        <v>3.0</v>
      </c>
      <c r="E301" s="30"/>
      <c r="F301" s="30"/>
      <c r="G301" s="30"/>
      <c r="H301" s="30"/>
      <c r="I301" s="30"/>
      <c r="J301" s="22"/>
    </row>
    <row r="302">
      <c r="A302" s="9" t="s">
        <v>1090</v>
      </c>
      <c r="B302" s="11">
        <v>39.0</v>
      </c>
      <c r="C302" s="9" t="s">
        <v>19</v>
      </c>
      <c r="D302" s="11">
        <v>2.0</v>
      </c>
      <c r="E302" s="16">
        <v>46231.0</v>
      </c>
      <c r="F302" s="11" t="s">
        <v>23</v>
      </c>
      <c r="G302" s="11">
        <v>97.7</v>
      </c>
      <c r="H302" s="11">
        <v>10.04</v>
      </c>
      <c r="I302" s="11">
        <v>8.1</v>
      </c>
      <c r="J302" s="22"/>
    </row>
    <row r="303">
      <c r="A303" s="9" t="s">
        <v>1093</v>
      </c>
      <c r="B303" s="11">
        <v>39.0</v>
      </c>
      <c r="C303" s="9" t="s">
        <v>19</v>
      </c>
      <c r="D303" s="11">
        <v>3.0</v>
      </c>
      <c r="E303" s="30"/>
      <c r="F303" s="30"/>
      <c r="G303" s="30"/>
      <c r="H303" s="30"/>
      <c r="I303" s="30"/>
      <c r="J303" s="22"/>
    </row>
    <row r="304">
      <c r="A304" s="9" t="s">
        <v>1095</v>
      </c>
      <c r="B304" s="11">
        <v>39.0</v>
      </c>
      <c r="C304" s="9" t="s">
        <v>36</v>
      </c>
      <c r="D304" s="11">
        <v>1.0</v>
      </c>
      <c r="E304" s="16">
        <v>46231.0</v>
      </c>
      <c r="F304" s="11" t="s">
        <v>23</v>
      </c>
      <c r="G304" s="11">
        <v>97.7</v>
      </c>
      <c r="H304" s="11">
        <v>10.04</v>
      </c>
      <c r="I304" s="11">
        <v>8.06</v>
      </c>
      <c r="J304" s="22"/>
    </row>
    <row r="305">
      <c r="A305" s="9" t="s">
        <v>1097</v>
      </c>
      <c r="B305" s="11">
        <v>39.0</v>
      </c>
      <c r="C305" s="9" t="s">
        <v>36</v>
      </c>
      <c r="D305" s="11">
        <v>3.0</v>
      </c>
      <c r="E305" s="30"/>
      <c r="F305" s="30"/>
      <c r="G305" s="30"/>
      <c r="H305" s="30"/>
      <c r="I305" s="30"/>
      <c r="J305" s="22"/>
    </row>
    <row r="306">
      <c r="A306" s="31" t="s">
        <v>1100</v>
      </c>
      <c r="B306" s="32">
        <v>40.0</v>
      </c>
      <c r="C306" s="31" t="s">
        <v>28</v>
      </c>
      <c r="D306" s="32">
        <v>1.0</v>
      </c>
      <c r="E306" s="16">
        <v>46231.0</v>
      </c>
      <c r="F306" s="11" t="s">
        <v>23</v>
      </c>
      <c r="G306" s="11">
        <v>97.7</v>
      </c>
      <c r="H306" s="11">
        <v>10.04</v>
      </c>
      <c r="I306" s="32">
        <v>8.18</v>
      </c>
      <c r="J306" s="33"/>
    </row>
    <row r="307">
      <c r="A307" s="31" t="s">
        <v>1102</v>
      </c>
      <c r="B307" s="32">
        <v>40.0</v>
      </c>
      <c r="C307" s="31" t="s">
        <v>28</v>
      </c>
      <c r="D307" s="32">
        <v>2.0</v>
      </c>
      <c r="E307" s="34"/>
      <c r="F307" s="34"/>
      <c r="G307" s="34"/>
      <c r="H307" s="34"/>
      <c r="I307" s="34"/>
      <c r="J307" s="33"/>
    </row>
    <row r="308">
      <c r="A308" s="31" t="s">
        <v>1105</v>
      </c>
      <c r="B308" s="32">
        <v>40.0</v>
      </c>
      <c r="C308" s="31" t="s">
        <v>28</v>
      </c>
      <c r="D308" s="32">
        <v>3.0</v>
      </c>
      <c r="E308" s="34"/>
      <c r="F308" s="34"/>
      <c r="G308" s="34"/>
      <c r="H308" s="34"/>
      <c r="I308" s="34"/>
      <c r="J308" s="33"/>
    </row>
    <row r="309">
      <c r="A309" s="31" t="s">
        <v>1107</v>
      </c>
      <c r="B309" s="32">
        <v>40.0</v>
      </c>
      <c r="C309" s="31" t="s">
        <v>19</v>
      </c>
      <c r="D309" s="32">
        <v>1.0</v>
      </c>
      <c r="E309" s="16">
        <v>46231.0</v>
      </c>
      <c r="F309" s="11" t="s">
        <v>23</v>
      </c>
      <c r="G309" s="11">
        <v>97.7</v>
      </c>
      <c r="H309" s="11">
        <v>10.04</v>
      </c>
      <c r="I309" s="32">
        <v>8.1</v>
      </c>
      <c r="J309" s="33"/>
    </row>
    <row r="310">
      <c r="A310" s="31" t="s">
        <v>1109</v>
      </c>
      <c r="B310" s="32">
        <v>40.0</v>
      </c>
      <c r="C310" s="31" t="s">
        <v>19</v>
      </c>
      <c r="D310" s="32">
        <v>2.0</v>
      </c>
      <c r="E310" s="34"/>
      <c r="F310" s="34"/>
      <c r="G310" s="34"/>
      <c r="H310" s="34"/>
      <c r="I310" s="34"/>
      <c r="J310" s="33"/>
    </row>
    <row r="311">
      <c r="A311" s="31" t="s">
        <v>1111</v>
      </c>
      <c r="B311" s="32">
        <v>40.0</v>
      </c>
      <c r="C311" s="31" t="s">
        <v>19</v>
      </c>
      <c r="D311" s="32">
        <v>3.0</v>
      </c>
      <c r="E311" s="34"/>
      <c r="F311" s="34"/>
      <c r="G311" s="34"/>
      <c r="H311" s="34"/>
      <c r="I311" s="34"/>
      <c r="J311" s="33"/>
    </row>
    <row r="312">
      <c r="A312" s="31" t="s">
        <v>1113</v>
      </c>
      <c r="B312" s="32">
        <v>40.0</v>
      </c>
      <c r="C312" s="31" t="s">
        <v>36</v>
      </c>
      <c r="D312" s="32">
        <v>1.0</v>
      </c>
      <c r="E312" s="16">
        <v>46231.0</v>
      </c>
      <c r="F312" s="11" t="s">
        <v>23</v>
      </c>
      <c r="G312" s="11">
        <v>97.7</v>
      </c>
      <c r="H312" s="11">
        <v>10.04</v>
      </c>
      <c r="I312" s="32">
        <v>8.14</v>
      </c>
      <c r="J312" s="33"/>
    </row>
    <row r="313">
      <c r="A313" s="31" t="s">
        <v>1115</v>
      </c>
      <c r="B313" s="32">
        <v>40.0</v>
      </c>
      <c r="C313" s="31" t="s">
        <v>36</v>
      </c>
      <c r="D313" s="32">
        <v>2.0</v>
      </c>
      <c r="E313" s="34"/>
      <c r="F313" s="34"/>
      <c r="G313" s="34"/>
      <c r="H313" s="34"/>
      <c r="I313" s="34"/>
      <c r="J313" s="33"/>
    </row>
    <row r="314">
      <c r="A314" s="31" t="s">
        <v>1118</v>
      </c>
      <c r="B314" s="32">
        <v>40.0</v>
      </c>
      <c r="C314" s="31" t="s">
        <v>36</v>
      </c>
      <c r="D314" s="32">
        <v>3.0</v>
      </c>
      <c r="E314" s="34"/>
      <c r="F314" s="34"/>
      <c r="G314" s="34"/>
      <c r="H314" s="34"/>
      <c r="I314" s="34"/>
      <c r="J314" s="33"/>
    </row>
    <row r="315">
      <c r="A315" s="9" t="s">
        <v>1120</v>
      </c>
      <c r="B315" s="11">
        <v>41.0</v>
      </c>
      <c r="C315" s="9" t="s">
        <v>19</v>
      </c>
      <c r="D315" s="11">
        <v>3.0</v>
      </c>
      <c r="E315" s="30"/>
      <c r="F315" s="30"/>
      <c r="G315" s="30"/>
      <c r="H315" s="30"/>
      <c r="I315" s="30"/>
      <c r="J315" s="9" t="s">
        <v>73</v>
      </c>
    </row>
    <row r="316">
      <c r="A316" s="9" t="s">
        <v>1122</v>
      </c>
      <c r="B316" s="11">
        <v>41.0</v>
      </c>
      <c r="C316" s="9" t="s">
        <v>36</v>
      </c>
      <c r="D316" s="11">
        <v>1.0</v>
      </c>
      <c r="E316" s="30"/>
      <c r="F316" s="30"/>
      <c r="G316" s="30"/>
      <c r="H316" s="30"/>
      <c r="I316" s="30"/>
      <c r="J316" s="9" t="s">
        <v>73</v>
      </c>
    </row>
    <row r="317">
      <c r="A317" s="9" t="s">
        <v>1123</v>
      </c>
      <c r="B317" s="11">
        <v>41.0</v>
      </c>
      <c r="C317" s="9" t="s">
        <v>36</v>
      </c>
      <c r="D317" s="11">
        <v>2.0</v>
      </c>
      <c r="E317" s="30"/>
      <c r="F317" s="30"/>
      <c r="G317" s="30"/>
      <c r="H317" s="30"/>
      <c r="I317" s="30"/>
      <c r="J317" s="9" t="s">
        <v>73</v>
      </c>
    </row>
    <row r="318">
      <c r="A318" s="31" t="s">
        <v>1125</v>
      </c>
      <c r="B318" s="32">
        <v>42.0</v>
      </c>
      <c r="C318" s="31" t="s">
        <v>28</v>
      </c>
      <c r="D318" s="32">
        <v>1.0</v>
      </c>
      <c r="E318" s="16">
        <v>46231.0</v>
      </c>
      <c r="F318" s="11" t="s">
        <v>23</v>
      </c>
      <c r="G318" s="11">
        <v>97.7</v>
      </c>
      <c r="H318" s="11">
        <v>10.04</v>
      </c>
      <c r="I318" s="32">
        <v>8.11</v>
      </c>
      <c r="J318" s="33"/>
    </row>
    <row r="319">
      <c r="A319" s="31" t="s">
        <v>1127</v>
      </c>
      <c r="B319" s="32">
        <v>42.0</v>
      </c>
      <c r="C319" s="31" t="s">
        <v>28</v>
      </c>
      <c r="D319" s="32">
        <v>2.0</v>
      </c>
      <c r="E319" s="34"/>
      <c r="F319" s="34"/>
      <c r="G319" s="34"/>
      <c r="H319" s="34"/>
      <c r="I319" s="34"/>
      <c r="J319" s="33"/>
    </row>
    <row r="320">
      <c r="A320" s="31" t="s">
        <v>1128</v>
      </c>
      <c r="B320" s="32">
        <v>42.0</v>
      </c>
      <c r="C320" s="31" t="s">
        <v>28</v>
      </c>
      <c r="D320" s="32">
        <v>3.0</v>
      </c>
      <c r="E320" s="34"/>
      <c r="F320" s="34"/>
      <c r="G320" s="34"/>
      <c r="H320" s="34"/>
      <c r="I320" s="34"/>
      <c r="J320" s="33"/>
    </row>
    <row r="321">
      <c r="A321" s="31" t="s">
        <v>1130</v>
      </c>
      <c r="B321" s="32">
        <v>42.0</v>
      </c>
      <c r="C321" s="31" t="s">
        <v>19</v>
      </c>
      <c r="D321" s="32">
        <v>1.0</v>
      </c>
      <c r="E321" s="16">
        <v>46231.0</v>
      </c>
      <c r="F321" s="11" t="s">
        <v>23</v>
      </c>
      <c r="G321" s="11">
        <v>97.7</v>
      </c>
      <c r="H321" s="11">
        <v>10.04</v>
      </c>
      <c r="I321" s="32">
        <v>8.2</v>
      </c>
      <c r="J321" s="33"/>
    </row>
    <row r="322">
      <c r="A322" s="31" t="s">
        <v>1132</v>
      </c>
      <c r="B322" s="32">
        <v>42.0</v>
      </c>
      <c r="C322" s="31" t="s">
        <v>19</v>
      </c>
      <c r="D322" s="32">
        <v>2.0</v>
      </c>
      <c r="E322" s="34"/>
      <c r="F322" s="34"/>
      <c r="G322" s="34"/>
      <c r="H322" s="34"/>
      <c r="I322" s="34"/>
      <c r="J322" s="33"/>
    </row>
    <row r="323">
      <c r="A323" s="31" t="s">
        <v>1134</v>
      </c>
      <c r="B323" s="32">
        <v>42.0</v>
      </c>
      <c r="C323" s="31" t="s">
        <v>19</v>
      </c>
      <c r="D323" s="32">
        <v>3.0</v>
      </c>
      <c r="E323" s="34"/>
      <c r="F323" s="34"/>
      <c r="G323" s="34"/>
      <c r="H323" s="34"/>
      <c r="I323" s="34"/>
      <c r="J323" s="33"/>
    </row>
    <row r="324">
      <c r="A324" s="31" t="s">
        <v>1136</v>
      </c>
      <c r="B324" s="32">
        <v>42.0</v>
      </c>
      <c r="C324" s="31" t="s">
        <v>36</v>
      </c>
      <c r="D324" s="32">
        <v>1.0</v>
      </c>
      <c r="E324" s="16">
        <v>46231.0</v>
      </c>
      <c r="F324" s="11" t="s">
        <v>23</v>
      </c>
      <c r="G324" s="11">
        <v>97.7</v>
      </c>
      <c r="H324" s="11">
        <v>10.04</v>
      </c>
      <c r="I324" s="32">
        <v>8.09</v>
      </c>
      <c r="J324" s="33"/>
    </row>
    <row r="325">
      <c r="A325" s="31" t="s">
        <v>1137</v>
      </c>
      <c r="B325" s="32">
        <v>42.0</v>
      </c>
      <c r="C325" s="31" t="s">
        <v>36</v>
      </c>
      <c r="D325" s="32">
        <v>2.0</v>
      </c>
      <c r="E325" s="34"/>
      <c r="F325" s="34"/>
      <c r="G325" s="34"/>
      <c r="H325" s="34"/>
      <c r="I325" s="34"/>
      <c r="J325" s="33"/>
    </row>
    <row r="326">
      <c r="A326" s="31" t="s">
        <v>1139</v>
      </c>
      <c r="B326" s="32">
        <v>42.0</v>
      </c>
      <c r="C326" s="31" t="s">
        <v>36</v>
      </c>
      <c r="D326" s="32">
        <v>3.0</v>
      </c>
      <c r="E326" s="34"/>
      <c r="F326" s="34"/>
      <c r="G326" s="34"/>
      <c r="H326" s="34"/>
      <c r="I326" s="34"/>
      <c r="J326" s="33"/>
    </row>
    <row r="327">
      <c r="A327" s="9" t="s">
        <v>1141</v>
      </c>
      <c r="B327" s="11">
        <v>43.0</v>
      </c>
      <c r="C327" s="9" t="s">
        <v>28</v>
      </c>
      <c r="D327" s="11">
        <v>1.0</v>
      </c>
      <c r="E327" s="11" t="s">
        <v>21</v>
      </c>
      <c r="F327" s="11" t="s">
        <v>23</v>
      </c>
      <c r="G327" s="11">
        <v>98.8</v>
      </c>
      <c r="H327" s="11">
        <v>10.05</v>
      </c>
      <c r="I327" s="65">
        <v>8.14</v>
      </c>
      <c r="J327" s="22"/>
      <c r="K327" s="49"/>
      <c r="L327" s="49"/>
      <c r="M327" s="49"/>
    </row>
    <row r="328">
      <c r="A328" s="9" t="s">
        <v>1143</v>
      </c>
      <c r="B328" s="11">
        <v>43.0</v>
      </c>
      <c r="C328" s="9" t="s">
        <v>28</v>
      </c>
      <c r="D328" s="11">
        <v>2.0</v>
      </c>
      <c r="E328" s="11" t="s">
        <v>21</v>
      </c>
      <c r="F328" s="11" t="s">
        <v>23</v>
      </c>
      <c r="G328" s="11">
        <v>98.8</v>
      </c>
      <c r="H328" s="11">
        <v>10.05</v>
      </c>
      <c r="I328" s="65">
        <v>8.06</v>
      </c>
      <c r="J328" s="22"/>
      <c r="K328" s="49"/>
      <c r="L328" s="49"/>
      <c r="M328" s="49"/>
    </row>
    <row r="329">
      <c r="A329" s="9" t="s">
        <v>1145</v>
      </c>
      <c r="B329" s="11">
        <v>43.0</v>
      </c>
      <c r="C329" s="9" t="s">
        <v>28</v>
      </c>
      <c r="D329" s="11">
        <v>3.0</v>
      </c>
      <c r="E329" s="11" t="s">
        <v>21</v>
      </c>
      <c r="F329" s="11" t="s">
        <v>23</v>
      </c>
      <c r="G329" s="11">
        <v>98.8</v>
      </c>
      <c r="H329" s="11">
        <v>10.05</v>
      </c>
      <c r="I329" s="65">
        <v>8.07</v>
      </c>
      <c r="J329" s="22"/>
      <c r="K329" s="49"/>
      <c r="L329" s="49"/>
      <c r="M329" s="49"/>
    </row>
    <row r="330">
      <c r="A330" s="9" t="s">
        <v>1147</v>
      </c>
      <c r="B330" s="11">
        <v>43.0</v>
      </c>
      <c r="C330" s="9" t="s">
        <v>19</v>
      </c>
      <c r="D330" s="11">
        <v>1.0</v>
      </c>
      <c r="E330" s="11" t="s">
        <v>21</v>
      </c>
      <c r="F330" s="11" t="s">
        <v>23</v>
      </c>
      <c r="G330" s="11">
        <v>98.8</v>
      </c>
      <c r="H330" s="11">
        <v>10.05</v>
      </c>
      <c r="I330" s="65">
        <v>7.97</v>
      </c>
      <c r="J330" s="22"/>
    </row>
    <row r="331">
      <c r="A331" s="9" t="s">
        <v>1149</v>
      </c>
      <c r="B331" s="11">
        <v>43.0</v>
      </c>
      <c r="C331" s="9" t="s">
        <v>19</v>
      </c>
      <c r="D331" s="11">
        <v>2.0</v>
      </c>
      <c r="E331" s="11" t="s">
        <v>21</v>
      </c>
      <c r="F331" s="11" t="s">
        <v>23</v>
      </c>
      <c r="G331" s="11">
        <v>98.8</v>
      </c>
      <c r="H331" s="11">
        <v>10.05</v>
      </c>
      <c r="I331" s="65">
        <v>8.0</v>
      </c>
      <c r="J331" s="22"/>
    </row>
    <row r="332">
      <c r="A332" s="9" t="s">
        <v>1151</v>
      </c>
      <c r="B332" s="11">
        <v>43.0</v>
      </c>
      <c r="C332" s="9" t="s">
        <v>19</v>
      </c>
      <c r="D332" s="11">
        <v>3.0</v>
      </c>
      <c r="E332" s="11" t="s">
        <v>21</v>
      </c>
      <c r="F332" s="11" t="s">
        <v>23</v>
      </c>
      <c r="G332" s="11">
        <v>98.8</v>
      </c>
      <c r="H332" s="11">
        <v>10.05</v>
      </c>
      <c r="I332" s="66" t="s">
        <v>71</v>
      </c>
      <c r="J332" s="9" t="s">
        <v>73</v>
      </c>
    </row>
    <row r="333">
      <c r="A333" s="9" t="s">
        <v>1157</v>
      </c>
      <c r="B333" s="11">
        <v>43.0</v>
      </c>
      <c r="C333" s="9" t="s">
        <v>36</v>
      </c>
      <c r="D333" s="11">
        <v>1.0</v>
      </c>
      <c r="E333" s="11" t="s">
        <v>21</v>
      </c>
      <c r="F333" s="11" t="s">
        <v>23</v>
      </c>
      <c r="G333" s="11">
        <v>98.8</v>
      </c>
      <c r="H333" s="11">
        <v>10.05</v>
      </c>
      <c r="I333" s="65">
        <v>7.95</v>
      </c>
      <c r="J333" s="22"/>
    </row>
    <row r="334">
      <c r="A334" s="9" t="s">
        <v>1164</v>
      </c>
      <c r="B334" s="11">
        <v>43.0</v>
      </c>
      <c r="C334" s="9" t="s">
        <v>36</v>
      </c>
      <c r="D334" s="11">
        <v>2.0</v>
      </c>
      <c r="E334" s="11" t="s">
        <v>21</v>
      </c>
      <c r="F334" s="11" t="s">
        <v>23</v>
      </c>
      <c r="G334" s="11">
        <v>98.8</v>
      </c>
      <c r="H334" s="11">
        <v>10.05</v>
      </c>
      <c r="I334" s="65">
        <v>7.98</v>
      </c>
      <c r="J334" s="22"/>
    </row>
    <row r="335">
      <c r="A335" s="9" t="s">
        <v>1173</v>
      </c>
      <c r="B335" s="11">
        <v>43.0</v>
      </c>
      <c r="C335" s="9" t="s">
        <v>36</v>
      </c>
      <c r="D335" s="11">
        <v>3.0</v>
      </c>
      <c r="E335" s="11" t="s">
        <v>21</v>
      </c>
      <c r="F335" s="11" t="s">
        <v>23</v>
      </c>
      <c r="G335" s="11">
        <v>98.8</v>
      </c>
      <c r="H335" s="11">
        <v>10.05</v>
      </c>
      <c r="I335" s="65">
        <v>7.99</v>
      </c>
      <c r="J335" s="22"/>
    </row>
    <row r="336">
      <c r="A336" s="31" t="s">
        <v>1181</v>
      </c>
      <c r="B336" s="32">
        <v>44.0</v>
      </c>
      <c r="C336" s="31" t="s">
        <v>28</v>
      </c>
      <c r="D336" s="32">
        <v>1.0</v>
      </c>
      <c r="E336" s="16">
        <v>46231.0</v>
      </c>
      <c r="F336" s="11" t="s">
        <v>23</v>
      </c>
      <c r="G336" s="11">
        <v>97.7</v>
      </c>
      <c r="H336" s="11">
        <v>10.04</v>
      </c>
      <c r="I336" s="32">
        <v>8.06</v>
      </c>
      <c r="J336" s="33"/>
    </row>
    <row r="337">
      <c r="A337" s="31" t="s">
        <v>1184</v>
      </c>
      <c r="B337" s="32">
        <v>44.0</v>
      </c>
      <c r="C337" s="31" t="s">
        <v>28</v>
      </c>
      <c r="D337" s="32">
        <v>2.0</v>
      </c>
      <c r="E337" s="34"/>
      <c r="F337" s="34"/>
      <c r="G337" s="34"/>
      <c r="H337" s="34"/>
      <c r="I337" s="34"/>
      <c r="J337" s="33"/>
    </row>
    <row r="338">
      <c r="A338" s="31" t="s">
        <v>1186</v>
      </c>
      <c r="B338" s="32">
        <v>44.0</v>
      </c>
      <c r="C338" s="31" t="s">
        <v>28</v>
      </c>
      <c r="D338" s="32">
        <v>3.0</v>
      </c>
      <c r="E338" s="34"/>
      <c r="F338" s="34"/>
      <c r="G338" s="34"/>
      <c r="H338" s="34"/>
      <c r="I338" s="34"/>
      <c r="J338" s="33"/>
    </row>
    <row r="339">
      <c r="A339" s="31" t="s">
        <v>1187</v>
      </c>
      <c r="B339" s="32">
        <v>44.0</v>
      </c>
      <c r="C339" s="31" t="s">
        <v>19</v>
      </c>
      <c r="D339" s="32">
        <v>1.0</v>
      </c>
      <c r="E339" s="16">
        <v>46231.0</v>
      </c>
      <c r="F339" s="11" t="s">
        <v>23</v>
      </c>
      <c r="G339" s="11">
        <v>97.7</v>
      </c>
      <c r="H339" s="11">
        <v>10.04</v>
      </c>
      <c r="I339" s="32">
        <v>8.01</v>
      </c>
      <c r="J339" s="33"/>
    </row>
    <row r="340">
      <c r="A340" s="31" t="s">
        <v>1189</v>
      </c>
      <c r="B340" s="32">
        <v>44.0</v>
      </c>
      <c r="C340" s="31" t="s">
        <v>19</v>
      </c>
      <c r="D340" s="32">
        <v>2.0</v>
      </c>
      <c r="E340" s="34"/>
      <c r="F340" s="34"/>
      <c r="G340" s="34"/>
      <c r="H340" s="34"/>
      <c r="I340" s="34"/>
      <c r="J340" s="33"/>
    </row>
    <row r="341">
      <c r="A341" s="31" t="s">
        <v>1192</v>
      </c>
      <c r="B341" s="32">
        <v>44.0</v>
      </c>
      <c r="C341" s="31" t="s">
        <v>19</v>
      </c>
      <c r="D341" s="32">
        <v>3.0</v>
      </c>
      <c r="E341" s="34"/>
      <c r="F341" s="34"/>
      <c r="G341" s="34"/>
      <c r="H341" s="34"/>
      <c r="I341" s="34"/>
      <c r="J341" s="33"/>
    </row>
    <row r="342">
      <c r="A342" s="31" t="s">
        <v>1193</v>
      </c>
      <c r="B342" s="32">
        <v>44.0</v>
      </c>
      <c r="C342" s="31" t="s">
        <v>36</v>
      </c>
      <c r="D342" s="32">
        <v>1.0</v>
      </c>
      <c r="E342" s="16">
        <v>46231.0</v>
      </c>
      <c r="F342" s="11" t="s">
        <v>23</v>
      </c>
      <c r="G342" s="11">
        <v>97.7</v>
      </c>
      <c r="H342" s="11">
        <v>10.04</v>
      </c>
      <c r="I342" s="32">
        <v>8.07</v>
      </c>
      <c r="J342" s="33"/>
    </row>
    <row r="343">
      <c r="A343" s="31" t="s">
        <v>1195</v>
      </c>
      <c r="B343" s="32">
        <v>44.0</v>
      </c>
      <c r="C343" s="31" t="s">
        <v>36</v>
      </c>
      <c r="D343" s="32">
        <v>2.0</v>
      </c>
      <c r="E343" s="34"/>
      <c r="F343" s="34"/>
      <c r="G343" s="34"/>
      <c r="H343" s="34"/>
      <c r="I343" s="34"/>
      <c r="J343" s="33"/>
    </row>
    <row r="344">
      <c r="A344" s="31" t="s">
        <v>1197</v>
      </c>
      <c r="B344" s="32">
        <v>44.0</v>
      </c>
      <c r="C344" s="31" t="s">
        <v>36</v>
      </c>
      <c r="D344" s="32">
        <v>3.0</v>
      </c>
      <c r="E344" s="34"/>
      <c r="F344" s="34"/>
      <c r="G344" s="34"/>
      <c r="H344" s="34"/>
      <c r="I344" s="34"/>
      <c r="J344" s="33"/>
    </row>
    <row r="345">
      <c r="A345" s="9" t="s">
        <v>1199</v>
      </c>
      <c r="B345" s="11">
        <v>45.0</v>
      </c>
      <c r="C345" s="9" t="s">
        <v>28</v>
      </c>
      <c r="D345" s="11">
        <v>1.0</v>
      </c>
      <c r="E345" s="11" t="s">
        <v>21</v>
      </c>
      <c r="F345" s="11" t="s">
        <v>23</v>
      </c>
      <c r="G345" s="11">
        <v>98.8</v>
      </c>
      <c r="H345" s="11">
        <v>10.06</v>
      </c>
      <c r="I345" s="67">
        <v>8.12</v>
      </c>
      <c r="J345" s="22"/>
    </row>
    <row r="346">
      <c r="A346" s="9" t="s">
        <v>1201</v>
      </c>
      <c r="B346" s="11">
        <v>45.0</v>
      </c>
      <c r="C346" s="9" t="s">
        <v>28</v>
      </c>
      <c r="D346" s="11">
        <v>2.0</v>
      </c>
      <c r="E346" s="11" t="s">
        <v>21</v>
      </c>
      <c r="F346" s="11" t="s">
        <v>23</v>
      </c>
      <c r="G346" s="11">
        <v>98.8</v>
      </c>
      <c r="H346" s="11">
        <v>10.06</v>
      </c>
      <c r="I346" s="67">
        <v>8.14</v>
      </c>
      <c r="J346" s="22"/>
    </row>
    <row r="347">
      <c r="A347" s="9" t="s">
        <v>1203</v>
      </c>
      <c r="B347" s="11">
        <v>45.0</v>
      </c>
      <c r="C347" s="9" t="s">
        <v>28</v>
      </c>
      <c r="D347" s="11">
        <v>3.0</v>
      </c>
      <c r="E347" s="11" t="s">
        <v>21</v>
      </c>
      <c r="F347" s="11" t="s">
        <v>23</v>
      </c>
      <c r="G347" s="11">
        <v>98.8</v>
      </c>
      <c r="H347" s="11">
        <v>10.06</v>
      </c>
      <c r="I347" s="67">
        <v>8.17</v>
      </c>
      <c r="J347" s="22"/>
    </row>
    <row r="348">
      <c r="A348" s="9" t="s">
        <v>1205</v>
      </c>
      <c r="B348" s="11">
        <v>45.0</v>
      </c>
      <c r="C348" s="9" t="s">
        <v>19</v>
      </c>
      <c r="D348" s="11">
        <v>1.0</v>
      </c>
      <c r="E348" s="11" t="s">
        <v>21</v>
      </c>
      <c r="F348" s="11" t="s">
        <v>23</v>
      </c>
      <c r="G348" s="11">
        <v>98.8</v>
      </c>
      <c r="H348" s="11">
        <v>10.06</v>
      </c>
      <c r="I348" s="67">
        <v>8.26</v>
      </c>
      <c r="J348" s="22"/>
      <c r="M348" s="49"/>
    </row>
    <row r="349">
      <c r="A349" s="9" t="s">
        <v>1207</v>
      </c>
      <c r="B349" s="11">
        <v>45.0</v>
      </c>
      <c r="C349" s="9" t="s">
        <v>19</v>
      </c>
      <c r="D349" s="11">
        <v>2.0</v>
      </c>
      <c r="E349" s="11" t="s">
        <v>21</v>
      </c>
      <c r="F349" s="11" t="s">
        <v>23</v>
      </c>
      <c r="G349" s="11">
        <v>98.8</v>
      </c>
      <c r="H349" s="11">
        <v>10.06</v>
      </c>
      <c r="I349" s="67">
        <v>8.34</v>
      </c>
      <c r="J349" s="22"/>
      <c r="M349" s="49"/>
    </row>
    <row r="350">
      <c r="A350" s="9" t="s">
        <v>1210</v>
      </c>
      <c r="B350" s="11">
        <v>45.0</v>
      </c>
      <c r="C350" s="9" t="s">
        <v>19</v>
      </c>
      <c r="D350" s="11">
        <v>3.0</v>
      </c>
      <c r="E350" s="11" t="s">
        <v>21</v>
      </c>
      <c r="F350" s="11" t="s">
        <v>23</v>
      </c>
      <c r="G350" s="11">
        <v>98.8</v>
      </c>
      <c r="H350" s="11">
        <v>10.06</v>
      </c>
      <c r="I350" s="67">
        <v>8.33</v>
      </c>
      <c r="J350" s="22"/>
      <c r="M350" s="49"/>
    </row>
    <row r="351">
      <c r="A351" s="9" t="s">
        <v>1212</v>
      </c>
      <c r="B351" s="11">
        <v>45.0</v>
      </c>
      <c r="C351" s="9" t="s">
        <v>36</v>
      </c>
      <c r="D351" s="11">
        <v>1.0</v>
      </c>
      <c r="E351" s="11" t="s">
        <v>21</v>
      </c>
      <c r="F351" s="11" t="s">
        <v>23</v>
      </c>
      <c r="G351" s="11">
        <v>98.8</v>
      </c>
      <c r="H351" s="11">
        <v>10.06</v>
      </c>
      <c r="I351" s="67">
        <v>7.87</v>
      </c>
      <c r="J351" s="22"/>
    </row>
    <row r="352">
      <c r="A352" s="9" t="s">
        <v>1214</v>
      </c>
      <c r="B352" s="11">
        <v>45.0</v>
      </c>
      <c r="C352" s="9" t="s">
        <v>36</v>
      </c>
      <c r="D352" s="11">
        <v>2.0</v>
      </c>
      <c r="E352" s="11" t="s">
        <v>21</v>
      </c>
      <c r="F352" s="11" t="s">
        <v>23</v>
      </c>
      <c r="G352" s="11">
        <v>98.8</v>
      </c>
      <c r="H352" s="11">
        <v>10.06</v>
      </c>
      <c r="I352" s="67">
        <v>8.0</v>
      </c>
      <c r="J352" s="22"/>
    </row>
    <row r="353">
      <c r="A353" s="9" t="s">
        <v>1216</v>
      </c>
      <c r="B353" s="11">
        <v>45.0</v>
      </c>
      <c r="C353" s="9" t="s">
        <v>36</v>
      </c>
      <c r="D353" s="11">
        <v>3.0</v>
      </c>
      <c r="E353" s="11" t="s">
        <v>21</v>
      </c>
      <c r="F353" s="11" t="s">
        <v>23</v>
      </c>
      <c r="G353" s="11">
        <v>98.8</v>
      </c>
      <c r="H353" s="11">
        <v>10.06</v>
      </c>
      <c r="I353" s="67">
        <v>7.96</v>
      </c>
      <c r="J353" s="22"/>
    </row>
    <row r="354">
      <c r="A354" s="31" t="s">
        <v>1220</v>
      </c>
      <c r="B354" s="32">
        <v>46.0</v>
      </c>
      <c r="C354" s="31" t="s">
        <v>28</v>
      </c>
      <c r="D354" s="32">
        <v>2.0</v>
      </c>
      <c r="E354" s="16">
        <v>46231.0</v>
      </c>
      <c r="F354" s="11" t="s">
        <v>23</v>
      </c>
      <c r="G354" s="11">
        <v>97.7</v>
      </c>
      <c r="H354" s="11">
        <v>10.04</v>
      </c>
      <c r="I354" s="32">
        <v>8.05</v>
      </c>
      <c r="J354" s="33"/>
    </row>
    <row r="355">
      <c r="A355" s="31" t="s">
        <v>1224</v>
      </c>
      <c r="B355" s="32">
        <v>46.0</v>
      </c>
      <c r="C355" s="31" t="s">
        <v>19</v>
      </c>
      <c r="D355" s="32">
        <v>1.0</v>
      </c>
      <c r="E355" s="16">
        <v>46231.0</v>
      </c>
      <c r="F355" s="11" t="s">
        <v>23</v>
      </c>
      <c r="G355" s="11">
        <v>97.7</v>
      </c>
      <c r="H355" s="11">
        <v>10.04</v>
      </c>
      <c r="I355" s="32">
        <v>8.13</v>
      </c>
      <c r="J355" s="33"/>
    </row>
    <row r="356">
      <c r="A356" s="9" t="s">
        <v>1227</v>
      </c>
      <c r="B356" s="11">
        <v>47.0</v>
      </c>
      <c r="C356" s="9" t="s">
        <v>28</v>
      </c>
      <c r="D356" s="11">
        <v>3.0</v>
      </c>
      <c r="E356" s="16">
        <v>46231.0</v>
      </c>
      <c r="F356" s="11" t="s">
        <v>23</v>
      </c>
      <c r="G356" s="11">
        <v>97.7</v>
      </c>
      <c r="H356" s="11">
        <v>10.04</v>
      </c>
      <c r="I356" s="11">
        <v>8.12</v>
      </c>
      <c r="J356" s="22"/>
    </row>
    <row r="357">
      <c r="A357" s="9" t="s">
        <v>1230</v>
      </c>
      <c r="B357" s="11">
        <v>47.0</v>
      </c>
      <c r="C357" s="9" t="s">
        <v>19</v>
      </c>
      <c r="D357" s="11">
        <v>1.0</v>
      </c>
      <c r="E357" s="16">
        <v>46231.0</v>
      </c>
      <c r="F357" s="11" t="s">
        <v>23</v>
      </c>
      <c r="G357" s="11">
        <v>97.7</v>
      </c>
      <c r="H357" s="11">
        <v>10.04</v>
      </c>
      <c r="I357" s="11">
        <v>8.04</v>
      </c>
      <c r="J357" s="22"/>
    </row>
    <row r="358">
      <c r="A358" s="9" t="s">
        <v>1232</v>
      </c>
      <c r="B358" s="11">
        <v>47.0</v>
      </c>
      <c r="C358" s="9" t="s">
        <v>19</v>
      </c>
      <c r="D358" s="11">
        <v>3.0</v>
      </c>
      <c r="E358" s="30"/>
      <c r="F358" s="30"/>
      <c r="G358" s="30"/>
      <c r="H358" s="30"/>
      <c r="I358" s="30"/>
      <c r="J358" s="22"/>
    </row>
    <row r="359">
      <c r="A359" s="9" t="s">
        <v>1233</v>
      </c>
      <c r="B359" s="11">
        <v>47.0</v>
      </c>
      <c r="C359" s="9" t="s">
        <v>36</v>
      </c>
      <c r="D359" s="11">
        <v>1.0</v>
      </c>
      <c r="E359" s="16">
        <v>46231.0</v>
      </c>
      <c r="F359" s="11" t="s">
        <v>23</v>
      </c>
      <c r="G359" s="11">
        <v>97.7</v>
      </c>
      <c r="H359" s="11">
        <v>10.04</v>
      </c>
      <c r="I359" s="11">
        <v>8.16</v>
      </c>
      <c r="J359" s="22"/>
    </row>
    <row r="360">
      <c r="A360" s="9" t="s">
        <v>1236</v>
      </c>
      <c r="B360" s="11">
        <v>47.0</v>
      </c>
      <c r="C360" s="9" t="s">
        <v>36</v>
      </c>
      <c r="D360" s="11">
        <v>2.0</v>
      </c>
      <c r="E360" s="30"/>
      <c r="F360" s="30"/>
      <c r="G360" s="30"/>
      <c r="H360" s="30"/>
      <c r="I360" s="30"/>
      <c r="J360" s="22"/>
    </row>
    <row r="361">
      <c r="A361" s="9" t="s">
        <v>1237</v>
      </c>
      <c r="B361" s="11">
        <v>47.0</v>
      </c>
      <c r="C361" s="9" t="s">
        <v>36</v>
      </c>
      <c r="D361" s="11">
        <v>3.0</v>
      </c>
      <c r="E361" s="30"/>
      <c r="F361" s="30"/>
      <c r="G361" s="30"/>
      <c r="H361" s="30"/>
      <c r="I361" s="30"/>
      <c r="J361" s="22"/>
    </row>
    <row r="362">
      <c r="A362" s="31" t="s">
        <v>1238</v>
      </c>
      <c r="B362" s="32">
        <v>48.0</v>
      </c>
      <c r="C362" s="31" t="s">
        <v>28</v>
      </c>
      <c r="D362" s="32">
        <v>1.0</v>
      </c>
      <c r="E362" s="16"/>
      <c r="F362" s="11"/>
      <c r="G362" s="11"/>
      <c r="H362" s="11"/>
      <c r="I362" s="34"/>
      <c r="J362" s="31" t="s">
        <v>73</v>
      </c>
    </row>
    <row r="363">
      <c r="A363" s="31" t="s">
        <v>1240</v>
      </c>
      <c r="B363" s="32">
        <v>48.0</v>
      </c>
      <c r="C363" s="31" t="s">
        <v>28</v>
      </c>
      <c r="D363" s="32">
        <v>2.0</v>
      </c>
      <c r="E363" s="34"/>
      <c r="F363" s="34"/>
      <c r="G363" s="34"/>
      <c r="H363" s="34"/>
      <c r="I363" s="34"/>
      <c r="J363" s="31" t="s">
        <v>73</v>
      </c>
    </row>
    <row r="364">
      <c r="A364" s="31" t="s">
        <v>1243</v>
      </c>
      <c r="B364" s="32">
        <v>48.0</v>
      </c>
      <c r="C364" s="31" t="s">
        <v>28</v>
      </c>
      <c r="D364" s="32">
        <v>3.0</v>
      </c>
      <c r="E364" s="34"/>
      <c r="F364" s="34"/>
      <c r="G364" s="34"/>
      <c r="H364" s="34"/>
      <c r="I364" s="34"/>
      <c r="J364" s="31" t="s">
        <v>73</v>
      </c>
    </row>
    <row r="365">
      <c r="A365" s="31" t="s">
        <v>1244</v>
      </c>
      <c r="B365" s="32">
        <v>48.0</v>
      </c>
      <c r="C365" s="31" t="s">
        <v>19</v>
      </c>
      <c r="D365" s="32">
        <v>1.0</v>
      </c>
      <c r="E365" s="16">
        <v>46231.0</v>
      </c>
      <c r="F365" s="11" t="s">
        <v>23</v>
      </c>
      <c r="G365" s="11">
        <v>97.7</v>
      </c>
      <c r="H365" s="11">
        <v>10.04</v>
      </c>
      <c r="I365" s="32">
        <v>8.21</v>
      </c>
      <c r="J365" s="33"/>
    </row>
    <row r="366">
      <c r="A366" s="31" t="s">
        <v>1247</v>
      </c>
      <c r="B366" s="32">
        <v>48.0</v>
      </c>
      <c r="C366" s="31" t="s">
        <v>19</v>
      </c>
      <c r="D366" s="32">
        <v>2.0</v>
      </c>
      <c r="E366" s="34"/>
      <c r="F366" s="34"/>
      <c r="G366" s="34"/>
      <c r="H366" s="34"/>
      <c r="I366" s="34"/>
      <c r="J366" s="31" t="s">
        <v>73</v>
      </c>
    </row>
    <row r="367">
      <c r="A367" s="31" t="s">
        <v>1250</v>
      </c>
      <c r="B367" s="32">
        <v>48.0</v>
      </c>
      <c r="C367" s="31" t="s">
        <v>19</v>
      </c>
      <c r="D367" s="32">
        <v>3.0</v>
      </c>
      <c r="E367" s="34"/>
      <c r="F367" s="34"/>
      <c r="G367" s="34"/>
      <c r="H367" s="34"/>
      <c r="I367" s="34"/>
      <c r="J367" s="31" t="s">
        <v>73</v>
      </c>
    </row>
    <row r="368">
      <c r="A368" s="31" t="s">
        <v>1254</v>
      </c>
      <c r="B368" s="32">
        <v>48.0</v>
      </c>
      <c r="C368" s="31" t="s">
        <v>36</v>
      </c>
      <c r="D368" s="32">
        <v>1.0</v>
      </c>
      <c r="E368" s="34"/>
      <c r="F368" s="34"/>
      <c r="G368" s="34"/>
      <c r="H368" s="34"/>
      <c r="I368" s="34"/>
      <c r="J368" s="31" t="s">
        <v>73</v>
      </c>
    </row>
    <row r="369">
      <c r="A369" s="31" t="s">
        <v>1259</v>
      </c>
      <c r="B369" s="32">
        <v>48.0</v>
      </c>
      <c r="C369" s="31" t="s">
        <v>36</v>
      </c>
      <c r="D369" s="32">
        <v>2.0</v>
      </c>
      <c r="E369" s="34"/>
      <c r="F369" s="34"/>
      <c r="G369" s="34"/>
      <c r="H369" s="34"/>
      <c r="I369" s="34"/>
      <c r="J369" s="31" t="s">
        <v>73</v>
      </c>
    </row>
    <row r="370">
      <c r="A370" s="31" t="s">
        <v>1265</v>
      </c>
      <c r="B370" s="32">
        <v>48.0</v>
      </c>
      <c r="C370" s="31" t="s">
        <v>36</v>
      </c>
      <c r="D370" s="32">
        <v>3.0</v>
      </c>
      <c r="E370" s="34"/>
      <c r="F370" s="34"/>
      <c r="G370" s="34"/>
      <c r="H370" s="34"/>
      <c r="I370" s="34"/>
      <c r="J370" s="31" t="s">
        <v>73</v>
      </c>
    </row>
    <row r="371">
      <c r="A371" s="9" t="s">
        <v>1272</v>
      </c>
      <c r="B371" s="11">
        <v>49.0</v>
      </c>
      <c r="C371" s="9" t="s">
        <v>28</v>
      </c>
      <c r="D371" s="11">
        <v>1.0</v>
      </c>
      <c r="E371" s="16">
        <v>46231.0</v>
      </c>
      <c r="F371" s="11" t="s">
        <v>23</v>
      </c>
      <c r="G371" s="11">
        <v>97.7</v>
      </c>
      <c r="H371" s="11">
        <v>10.04</v>
      </c>
      <c r="I371" s="11">
        <v>8.09</v>
      </c>
      <c r="J371" s="22"/>
    </row>
    <row r="372">
      <c r="A372" s="9" t="s">
        <v>1276</v>
      </c>
      <c r="B372" s="11">
        <v>49.0</v>
      </c>
      <c r="C372" s="9" t="s">
        <v>28</v>
      </c>
      <c r="D372" s="11">
        <v>2.0</v>
      </c>
      <c r="E372" s="30"/>
      <c r="F372" s="30"/>
      <c r="G372" s="30"/>
      <c r="H372" s="30"/>
      <c r="I372" s="30"/>
      <c r="J372" s="22"/>
    </row>
    <row r="373">
      <c r="A373" s="9" t="s">
        <v>1277</v>
      </c>
      <c r="B373" s="11">
        <v>49.0</v>
      </c>
      <c r="C373" s="9" t="s">
        <v>28</v>
      </c>
      <c r="D373" s="11">
        <v>3.0</v>
      </c>
      <c r="E373" s="30"/>
      <c r="F373" s="30"/>
      <c r="G373" s="30"/>
      <c r="H373" s="30"/>
      <c r="I373" s="30"/>
      <c r="J373" s="22"/>
    </row>
    <row r="374">
      <c r="A374" s="9" t="s">
        <v>1280</v>
      </c>
      <c r="B374" s="11">
        <v>49.0</v>
      </c>
      <c r="C374" s="9" t="s">
        <v>19</v>
      </c>
      <c r="D374" s="11">
        <v>1.0</v>
      </c>
      <c r="E374" s="16">
        <v>46231.0</v>
      </c>
      <c r="F374" s="11" t="s">
        <v>23</v>
      </c>
      <c r="G374" s="11">
        <v>97.7</v>
      </c>
      <c r="H374" s="11">
        <v>10.04</v>
      </c>
      <c r="I374" s="11">
        <v>7.94</v>
      </c>
      <c r="J374" s="22"/>
    </row>
    <row r="375">
      <c r="A375" s="9" t="s">
        <v>1283</v>
      </c>
      <c r="B375" s="11">
        <v>49.0</v>
      </c>
      <c r="C375" s="9" t="s">
        <v>19</v>
      </c>
      <c r="D375" s="11">
        <v>2.0</v>
      </c>
      <c r="E375" s="30"/>
      <c r="F375" s="30"/>
      <c r="G375" s="30"/>
      <c r="H375" s="30"/>
      <c r="I375" s="30"/>
      <c r="J375" s="22"/>
    </row>
    <row r="376">
      <c r="A376" s="9" t="s">
        <v>1285</v>
      </c>
      <c r="B376" s="11">
        <v>49.0</v>
      </c>
      <c r="C376" s="9" t="s">
        <v>19</v>
      </c>
      <c r="D376" s="11">
        <v>3.0</v>
      </c>
      <c r="E376" s="30"/>
      <c r="F376" s="30"/>
      <c r="G376" s="30"/>
      <c r="H376" s="30"/>
      <c r="I376" s="30"/>
      <c r="J376" s="22"/>
    </row>
    <row r="377">
      <c r="A377" s="9" t="s">
        <v>1287</v>
      </c>
      <c r="B377" s="11">
        <v>49.0</v>
      </c>
      <c r="C377" s="9" t="s">
        <v>36</v>
      </c>
      <c r="D377" s="11">
        <v>1.0</v>
      </c>
      <c r="E377" s="16">
        <v>46231.0</v>
      </c>
      <c r="F377" s="11" t="s">
        <v>23</v>
      </c>
      <c r="G377" s="11">
        <v>97.7</v>
      </c>
      <c r="H377" s="11">
        <v>10.04</v>
      </c>
      <c r="I377" s="11">
        <v>7.9</v>
      </c>
      <c r="J377" s="22"/>
    </row>
    <row r="378">
      <c r="A378" s="9" t="s">
        <v>1290</v>
      </c>
      <c r="B378" s="11">
        <v>49.0</v>
      </c>
      <c r="C378" s="9" t="s">
        <v>36</v>
      </c>
      <c r="D378" s="11">
        <v>2.0</v>
      </c>
      <c r="E378" s="30"/>
      <c r="F378" s="30"/>
      <c r="G378" s="30"/>
      <c r="H378" s="30"/>
      <c r="I378" s="30"/>
      <c r="J378" s="22"/>
    </row>
    <row r="379">
      <c r="A379" s="9" t="s">
        <v>1292</v>
      </c>
      <c r="B379" s="11">
        <v>49.0</v>
      </c>
      <c r="C379" s="9" t="s">
        <v>36</v>
      </c>
      <c r="D379" s="11">
        <v>3.0</v>
      </c>
      <c r="E379" s="30"/>
      <c r="F379" s="30"/>
      <c r="G379" s="30"/>
      <c r="H379" s="30"/>
      <c r="I379" s="30"/>
      <c r="J379" s="22"/>
    </row>
    <row r="380">
      <c r="A380" s="31" t="s">
        <v>1295</v>
      </c>
      <c r="B380" s="32">
        <v>50.0</v>
      </c>
      <c r="C380" s="31" t="s">
        <v>28</v>
      </c>
      <c r="D380" s="32">
        <v>1.0</v>
      </c>
      <c r="E380" s="16">
        <v>46231.0</v>
      </c>
      <c r="F380" s="11" t="s">
        <v>23</v>
      </c>
      <c r="G380" s="11">
        <v>97.7</v>
      </c>
      <c r="H380" s="11">
        <v>10.04</v>
      </c>
      <c r="I380" s="32">
        <v>8.19</v>
      </c>
      <c r="J380" s="33"/>
    </row>
    <row r="381">
      <c r="A381" s="31" t="s">
        <v>1297</v>
      </c>
      <c r="B381" s="32">
        <v>50.0</v>
      </c>
      <c r="C381" s="31" t="s">
        <v>28</v>
      </c>
      <c r="D381" s="32">
        <v>3.0</v>
      </c>
      <c r="E381" s="34"/>
      <c r="F381" s="34"/>
      <c r="G381" s="34"/>
      <c r="H381" s="34"/>
      <c r="I381" s="34"/>
      <c r="J381" s="33"/>
    </row>
    <row r="382">
      <c r="A382" s="31" t="s">
        <v>1300</v>
      </c>
      <c r="B382" s="32">
        <v>50.0</v>
      </c>
      <c r="C382" s="31" t="s">
        <v>19</v>
      </c>
      <c r="D382" s="32">
        <v>1.0</v>
      </c>
      <c r="E382" s="16">
        <v>46231.0</v>
      </c>
      <c r="F382" s="11" t="s">
        <v>23</v>
      </c>
      <c r="G382" s="11">
        <v>97.7</v>
      </c>
      <c r="H382" s="11">
        <v>10.04</v>
      </c>
      <c r="I382" s="32">
        <v>8.09</v>
      </c>
      <c r="J382" s="33"/>
    </row>
    <row r="383">
      <c r="A383" s="31" t="s">
        <v>1304</v>
      </c>
      <c r="B383" s="32">
        <v>50.0</v>
      </c>
      <c r="C383" s="31" t="s">
        <v>19</v>
      </c>
      <c r="D383" s="32">
        <v>2.0</v>
      </c>
      <c r="E383" s="34"/>
      <c r="F383" s="34"/>
      <c r="G383" s="34"/>
      <c r="H383" s="34"/>
      <c r="I383" s="34"/>
      <c r="J383" s="33"/>
    </row>
    <row r="384">
      <c r="A384" s="31" t="s">
        <v>1307</v>
      </c>
      <c r="B384" s="32">
        <v>50.0</v>
      </c>
      <c r="C384" s="31" t="s">
        <v>19</v>
      </c>
      <c r="D384" s="32">
        <v>3.0</v>
      </c>
      <c r="E384" s="34"/>
      <c r="F384" s="34"/>
      <c r="G384" s="34"/>
      <c r="H384" s="34"/>
      <c r="I384" s="34"/>
      <c r="J384" s="33"/>
    </row>
    <row r="385">
      <c r="A385" s="31" t="s">
        <v>1309</v>
      </c>
      <c r="B385" s="32">
        <v>50.0</v>
      </c>
      <c r="C385" s="31" t="s">
        <v>36</v>
      </c>
      <c r="D385" s="32">
        <v>1.0</v>
      </c>
      <c r="E385" s="16">
        <v>46231.0</v>
      </c>
      <c r="F385" s="11" t="s">
        <v>23</v>
      </c>
      <c r="G385" s="11">
        <v>97.7</v>
      </c>
      <c r="H385" s="11">
        <v>10.04</v>
      </c>
      <c r="I385" s="32">
        <v>8.2</v>
      </c>
      <c r="J385" s="33"/>
    </row>
    <row r="386">
      <c r="A386" s="31" t="s">
        <v>1311</v>
      </c>
      <c r="B386" s="32">
        <v>50.0</v>
      </c>
      <c r="C386" s="31" t="s">
        <v>36</v>
      </c>
      <c r="D386" s="32">
        <v>2.0</v>
      </c>
      <c r="E386" s="34"/>
      <c r="F386" s="34"/>
      <c r="G386" s="34"/>
      <c r="H386" s="34"/>
      <c r="I386" s="34"/>
      <c r="J386" s="33"/>
    </row>
    <row r="387">
      <c r="A387" s="31" t="s">
        <v>1314</v>
      </c>
      <c r="B387" s="32">
        <v>50.0</v>
      </c>
      <c r="C387" s="31" t="s">
        <v>36</v>
      </c>
      <c r="D387" s="32">
        <v>3.0</v>
      </c>
      <c r="E387" s="34"/>
      <c r="F387" s="34"/>
      <c r="G387" s="34"/>
      <c r="H387" s="34"/>
      <c r="I387" s="34"/>
      <c r="J387" s="33"/>
    </row>
    <row r="388">
      <c r="A388" s="9" t="s">
        <v>1317</v>
      </c>
      <c r="B388" s="11">
        <v>51.0</v>
      </c>
      <c r="C388" s="9" t="s">
        <v>28</v>
      </c>
      <c r="D388" s="11">
        <v>3.0</v>
      </c>
      <c r="E388" s="16">
        <v>46231.0</v>
      </c>
      <c r="F388" s="11" t="s">
        <v>23</v>
      </c>
      <c r="G388" s="11">
        <v>97.7</v>
      </c>
      <c r="H388" s="11">
        <v>10.04</v>
      </c>
      <c r="I388" s="11">
        <v>8.43</v>
      </c>
      <c r="J388" s="22"/>
    </row>
    <row r="389">
      <c r="A389" s="9" t="s">
        <v>1319</v>
      </c>
      <c r="B389" s="11">
        <v>51.0</v>
      </c>
      <c r="C389" s="9" t="s">
        <v>19</v>
      </c>
      <c r="D389" s="11">
        <v>3.0</v>
      </c>
      <c r="E389" s="16">
        <v>46231.0</v>
      </c>
      <c r="F389" s="11" t="s">
        <v>23</v>
      </c>
      <c r="G389" s="11">
        <v>97.7</v>
      </c>
      <c r="H389" s="11">
        <v>10.04</v>
      </c>
      <c r="I389" s="11">
        <v>8.38</v>
      </c>
      <c r="J389" s="22"/>
    </row>
    <row r="390">
      <c r="A390" s="9" t="s">
        <v>1322</v>
      </c>
      <c r="B390" s="11">
        <v>51.0</v>
      </c>
      <c r="C390" s="9" t="s">
        <v>36</v>
      </c>
      <c r="D390" s="11">
        <v>1.0</v>
      </c>
      <c r="E390" s="30"/>
      <c r="F390" s="30"/>
      <c r="G390" s="30"/>
      <c r="H390" s="30"/>
      <c r="I390" s="30"/>
      <c r="J390" s="22"/>
    </row>
    <row r="391">
      <c r="A391" s="9" t="s">
        <v>1324</v>
      </c>
      <c r="B391" s="11">
        <v>51.0</v>
      </c>
      <c r="C391" s="9" t="s">
        <v>36</v>
      </c>
      <c r="D391" s="11">
        <v>2.0</v>
      </c>
      <c r="E391" s="16">
        <v>46232.0</v>
      </c>
      <c r="F391" s="11" t="s">
        <v>23</v>
      </c>
      <c r="G391" s="11">
        <v>97.6</v>
      </c>
      <c r="H391" s="11">
        <v>10.03</v>
      </c>
      <c r="I391" s="11">
        <v>8.37</v>
      </c>
      <c r="J391" s="22"/>
    </row>
    <row r="392">
      <c r="A392" s="9" t="s">
        <v>1328</v>
      </c>
      <c r="B392" s="11">
        <v>51.0</v>
      </c>
      <c r="C392" s="9" t="s">
        <v>36</v>
      </c>
      <c r="D392" s="11">
        <v>3.0</v>
      </c>
      <c r="E392" s="30"/>
      <c r="F392" s="30"/>
      <c r="G392" s="30"/>
      <c r="H392" s="30"/>
      <c r="I392" s="30"/>
      <c r="J392" s="22"/>
    </row>
    <row r="393">
      <c r="A393" s="31" t="s">
        <v>1331</v>
      </c>
      <c r="B393" s="32">
        <v>52.0</v>
      </c>
      <c r="C393" s="31" t="s">
        <v>28</v>
      </c>
      <c r="D393" s="32">
        <v>1.0</v>
      </c>
      <c r="E393" s="16">
        <v>46232.0</v>
      </c>
      <c r="F393" s="11" t="s">
        <v>23</v>
      </c>
      <c r="G393" s="11">
        <v>97.6</v>
      </c>
      <c r="H393" s="11">
        <v>10.03</v>
      </c>
      <c r="I393" s="32">
        <v>8.41</v>
      </c>
      <c r="J393" s="33"/>
    </row>
    <row r="394">
      <c r="A394" s="31" t="s">
        <v>1334</v>
      </c>
      <c r="B394" s="32">
        <v>52.0</v>
      </c>
      <c r="C394" s="31" t="s">
        <v>28</v>
      </c>
      <c r="D394" s="32">
        <v>2.0</v>
      </c>
      <c r="E394" s="34"/>
      <c r="F394" s="34"/>
      <c r="G394" s="34"/>
      <c r="H394" s="34"/>
      <c r="I394" s="34"/>
      <c r="J394" s="33"/>
    </row>
    <row r="395">
      <c r="A395" s="31" t="s">
        <v>1339</v>
      </c>
      <c r="B395" s="32">
        <v>52.0</v>
      </c>
      <c r="C395" s="31" t="s">
        <v>28</v>
      </c>
      <c r="D395" s="32">
        <v>3.0</v>
      </c>
      <c r="E395" s="34"/>
      <c r="F395" s="34"/>
      <c r="G395" s="34"/>
      <c r="H395" s="34"/>
      <c r="I395" s="34"/>
      <c r="J395" s="33"/>
    </row>
    <row r="396">
      <c r="A396" s="9" t="s">
        <v>1343</v>
      </c>
      <c r="B396" s="11">
        <v>53.0</v>
      </c>
      <c r="C396" s="9" t="s">
        <v>28</v>
      </c>
      <c r="D396" s="11">
        <v>3.0</v>
      </c>
      <c r="E396" s="16">
        <v>46232.0</v>
      </c>
      <c r="F396" s="11" t="s">
        <v>23</v>
      </c>
      <c r="G396" s="11">
        <v>97.6</v>
      </c>
      <c r="H396" s="11">
        <v>10.03</v>
      </c>
      <c r="I396" s="11">
        <v>8.27</v>
      </c>
      <c r="J396" s="22"/>
    </row>
    <row r="397">
      <c r="A397" s="9" t="s">
        <v>1345</v>
      </c>
      <c r="B397" s="11">
        <v>53.0</v>
      </c>
      <c r="C397" s="9" t="s">
        <v>19</v>
      </c>
      <c r="D397" s="11">
        <v>1.0</v>
      </c>
      <c r="E397" s="16">
        <v>46232.0</v>
      </c>
      <c r="F397" s="11" t="s">
        <v>23</v>
      </c>
      <c r="G397" s="11">
        <v>97.6</v>
      </c>
      <c r="H397" s="11">
        <v>10.03</v>
      </c>
      <c r="I397" s="11">
        <v>8.3</v>
      </c>
      <c r="J397" s="22"/>
    </row>
    <row r="398">
      <c r="A398" s="9" t="s">
        <v>1347</v>
      </c>
      <c r="B398" s="11">
        <v>53.0</v>
      </c>
      <c r="C398" s="9" t="s">
        <v>19</v>
      </c>
      <c r="D398" s="11">
        <v>2.0</v>
      </c>
      <c r="E398" s="30"/>
      <c r="F398" s="30"/>
      <c r="G398" s="30"/>
      <c r="H398" s="30"/>
      <c r="I398" s="30"/>
      <c r="J398" s="22"/>
    </row>
    <row r="399">
      <c r="A399" s="9" t="s">
        <v>1350</v>
      </c>
      <c r="B399" s="11">
        <v>53.0</v>
      </c>
      <c r="C399" s="9" t="s">
        <v>19</v>
      </c>
      <c r="D399" s="11">
        <v>3.0</v>
      </c>
      <c r="E399" s="30"/>
      <c r="F399" s="30"/>
      <c r="G399" s="30"/>
      <c r="H399" s="30"/>
      <c r="I399" s="30"/>
      <c r="J399" s="22"/>
    </row>
    <row r="400">
      <c r="A400" s="9" t="s">
        <v>1351</v>
      </c>
      <c r="B400" s="11">
        <v>53.0</v>
      </c>
      <c r="C400" s="9" t="s">
        <v>36</v>
      </c>
      <c r="D400" s="11">
        <v>1.0</v>
      </c>
      <c r="E400" s="16">
        <v>46232.0</v>
      </c>
      <c r="F400" s="11" t="s">
        <v>23</v>
      </c>
      <c r="G400" s="11">
        <v>97.6</v>
      </c>
      <c r="H400" s="11">
        <v>10.03</v>
      </c>
      <c r="I400" s="11">
        <v>8.2</v>
      </c>
      <c r="J400" s="22"/>
    </row>
    <row r="401">
      <c r="A401" s="31" t="s">
        <v>1352</v>
      </c>
      <c r="B401" s="32">
        <v>54.0</v>
      </c>
      <c r="C401" s="31" t="s">
        <v>36</v>
      </c>
      <c r="D401" s="32">
        <v>2.0</v>
      </c>
      <c r="E401" s="16">
        <v>46232.0</v>
      </c>
      <c r="F401" s="11" t="s">
        <v>23</v>
      </c>
      <c r="G401" s="11">
        <v>97.6</v>
      </c>
      <c r="H401" s="11">
        <v>10.03</v>
      </c>
      <c r="I401" s="32">
        <v>8.1</v>
      </c>
      <c r="J401" s="33"/>
    </row>
    <row r="402">
      <c r="A402" s="9" t="s">
        <v>1353</v>
      </c>
      <c r="B402" s="11">
        <v>55.0</v>
      </c>
      <c r="C402" s="9" t="s">
        <v>28</v>
      </c>
      <c r="D402" s="11">
        <v>1.0</v>
      </c>
      <c r="E402" s="30"/>
      <c r="F402" s="30"/>
      <c r="G402" s="30"/>
      <c r="H402" s="30"/>
      <c r="I402" s="30"/>
      <c r="J402" s="9" t="s">
        <v>73</v>
      </c>
    </row>
    <row r="403">
      <c r="A403" s="31" t="s">
        <v>1354</v>
      </c>
      <c r="B403" s="32">
        <v>56.0</v>
      </c>
      <c r="C403" s="31" t="s">
        <v>28</v>
      </c>
      <c r="D403" s="32">
        <v>2.0</v>
      </c>
      <c r="E403" s="16">
        <v>46232.0</v>
      </c>
      <c r="F403" s="11" t="s">
        <v>23</v>
      </c>
      <c r="G403" s="11">
        <v>97.6</v>
      </c>
      <c r="H403" s="11">
        <v>10.03</v>
      </c>
      <c r="I403" s="32">
        <v>8.14</v>
      </c>
      <c r="J403" s="33"/>
    </row>
    <row r="404">
      <c r="A404" s="31" t="s">
        <v>1357</v>
      </c>
      <c r="B404" s="32">
        <v>56.0</v>
      </c>
      <c r="C404" s="31" t="s">
        <v>28</v>
      </c>
      <c r="D404" s="32">
        <v>3.0</v>
      </c>
      <c r="E404" s="34"/>
      <c r="F404" s="34"/>
      <c r="G404" s="34"/>
      <c r="H404" s="34"/>
      <c r="I404" s="34"/>
      <c r="J404" s="33"/>
    </row>
    <row r="405">
      <c r="A405" s="9" t="s">
        <v>1358</v>
      </c>
      <c r="B405" s="11">
        <v>57.0</v>
      </c>
      <c r="C405" s="9" t="s">
        <v>28</v>
      </c>
      <c r="D405" s="11">
        <v>3.0</v>
      </c>
      <c r="E405" s="16">
        <v>46232.0</v>
      </c>
      <c r="F405" s="11" t="s">
        <v>23</v>
      </c>
      <c r="G405" s="11">
        <v>97.6</v>
      </c>
      <c r="H405" s="11">
        <v>10.03</v>
      </c>
      <c r="I405" s="11">
        <v>8.34</v>
      </c>
      <c r="J405" s="22"/>
    </row>
    <row r="406">
      <c r="A406" s="9" t="s">
        <v>1359</v>
      </c>
      <c r="B406" s="11">
        <v>57.0</v>
      </c>
      <c r="C406" s="9" t="s">
        <v>19</v>
      </c>
      <c r="D406" s="11">
        <v>1.0</v>
      </c>
      <c r="E406" s="16">
        <v>46232.0</v>
      </c>
      <c r="F406" s="11" t="s">
        <v>23</v>
      </c>
      <c r="G406" s="11">
        <v>97.6</v>
      </c>
      <c r="H406" s="11">
        <v>10.03</v>
      </c>
      <c r="I406" s="11">
        <v>8.39</v>
      </c>
      <c r="J406" s="22"/>
    </row>
    <row r="407">
      <c r="A407" s="9" t="s">
        <v>1361</v>
      </c>
      <c r="B407" s="11">
        <v>57.0</v>
      </c>
      <c r="C407" s="9" t="s">
        <v>36</v>
      </c>
      <c r="D407" s="11">
        <v>1.0</v>
      </c>
      <c r="E407" s="16">
        <v>46232.0</v>
      </c>
      <c r="F407" s="11" t="s">
        <v>23</v>
      </c>
      <c r="G407" s="11">
        <v>97.6</v>
      </c>
      <c r="H407" s="11">
        <v>10.03</v>
      </c>
      <c r="I407" s="11">
        <v>8.42</v>
      </c>
      <c r="J407" s="22"/>
    </row>
    <row r="408">
      <c r="A408" s="9" t="s">
        <v>1362</v>
      </c>
      <c r="B408" s="11">
        <v>57.0</v>
      </c>
      <c r="C408" s="9" t="s">
        <v>36</v>
      </c>
      <c r="D408" s="11">
        <v>2.0</v>
      </c>
      <c r="E408" s="30"/>
      <c r="F408" s="30"/>
      <c r="G408" s="30"/>
      <c r="H408" s="30"/>
      <c r="I408" s="30"/>
      <c r="J408" s="22"/>
    </row>
    <row r="409">
      <c r="A409" s="9" t="s">
        <v>1363</v>
      </c>
      <c r="B409" s="11">
        <v>57.0</v>
      </c>
      <c r="C409" s="9" t="s">
        <v>36</v>
      </c>
      <c r="D409" s="11">
        <v>3.0</v>
      </c>
      <c r="E409" s="30"/>
      <c r="F409" s="30"/>
      <c r="G409" s="30"/>
      <c r="H409" s="30"/>
      <c r="I409" s="30"/>
      <c r="J409" s="22"/>
    </row>
    <row r="410">
      <c r="A410" s="31" t="s">
        <v>1364</v>
      </c>
      <c r="B410" s="32">
        <v>58.0</v>
      </c>
      <c r="C410" s="31" t="s">
        <v>28</v>
      </c>
      <c r="D410" s="32">
        <v>1.0</v>
      </c>
      <c r="E410" s="16">
        <v>46232.0</v>
      </c>
      <c r="F410" s="11" t="s">
        <v>23</v>
      </c>
      <c r="G410" s="11">
        <v>97.6</v>
      </c>
      <c r="H410" s="11">
        <v>10.03</v>
      </c>
      <c r="I410" s="32">
        <v>8.23</v>
      </c>
      <c r="J410" s="33"/>
    </row>
    <row r="411">
      <c r="A411" s="31" t="s">
        <v>1368</v>
      </c>
      <c r="B411" s="32">
        <v>58.0</v>
      </c>
      <c r="C411" s="31" t="s">
        <v>28</v>
      </c>
      <c r="D411" s="32">
        <v>2.0</v>
      </c>
      <c r="E411" s="34"/>
      <c r="F411" s="34"/>
      <c r="G411" s="34"/>
      <c r="H411" s="34"/>
      <c r="I411" s="34"/>
      <c r="J411" s="33"/>
    </row>
    <row r="412">
      <c r="A412" s="31" t="s">
        <v>1371</v>
      </c>
      <c r="B412" s="32">
        <v>58.0</v>
      </c>
      <c r="C412" s="31" t="s">
        <v>28</v>
      </c>
      <c r="D412" s="32">
        <v>3.0</v>
      </c>
      <c r="E412" s="34"/>
      <c r="F412" s="34"/>
      <c r="G412" s="34"/>
      <c r="H412" s="34"/>
      <c r="I412" s="34"/>
      <c r="J412" s="33"/>
    </row>
    <row r="413">
      <c r="A413" s="31" t="s">
        <v>1372</v>
      </c>
      <c r="B413" s="32">
        <v>58.0</v>
      </c>
      <c r="C413" s="31" t="s">
        <v>19</v>
      </c>
      <c r="D413" s="32">
        <v>1.0</v>
      </c>
      <c r="E413" s="16">
        <v>46232.0</v>
      </c>
      <c r="F413" s="11" t="s">
        <v>23</v>
      </c>
      <c r="G413" s="11">
        <v>97.6</v>
      </c>
      <c r="H413" s="11">
        <v>10.03</v>
      </c>
      <c r="I413" s="32">
        <v>8.28</v>
      </c>
      <c r="J413" s="33"/>
    </row>
    <row r="414">
      <c r="A414" s="31" t="s">
        <v>1375</v>
      </c>
      <c r="B414" s="32">
        <v>58.0</v>
      </c>
      <c r="C414" s="31" t="s">
        <v>36</v>
      </c>
      <c r="D414" s="32">
        <v>1.0</v>
      </c>
      <c r="E414" s="16">
        <v>46232.0</v>
      </c>
      <c r="F414" s="11" t="s">
        <v>23</v>
      </c>
      <c r="G414" s="11">
        <v>97.6</v>
      </c>
      <c r="H414" s="11">
        <v>10.03</v>
      </c>
      <c r="I414" s="32">
        <v>8.38</v>
      </c>
      <c r="J414" s="33"/>
    </row>
    <row r="415">
      <c r="A415" s="31" t="s">
        <v>1376</v>
      </c>
      <c r="B415" s="32">
        <v>58.0</v>
      </c>
      <c r="C415" s="31" t="s">
        <v>36</v>
      </c>
      <c r="D415" s="32">
        <v>2.0</v>
      </c>
      <c r="E415" s="34"/>
      <c r="F415" s="34"/>
      <c r="G415" s="34"/>
      <c r="H415" s="34"/>
      <c r="I415" s="34"/>
      <c r="J415" s="33"/>
    </row>
    <row r="416">
      <c r="A416" s="31" t="s">
        <v>1377</v>
      </c>
      <c r="B416" s="32">
        <v>58.0</v>
      </c>
      <c r="C416" s="31" t="s">
        <v>36</v>
      </c>
      <c r="D416" s="32">
        <v>3.0</v>
      </c>
      <c r="E416" s="34"/>
      <c r="F416" s="34"/>
      <c r="G416" s="34"/>
      <c r="H416" s="34"/>
      <c r="I416" s="34"/>
      <c r="J416" s="33"/>
    </row>
    <row r="417">
      <c r="A417" s="9" t="s">
        <v>1378</v>
      </c>
      <c r="B417" s="11">
        <v>59.0</v>
      </c>
      <c r="C417" s="9" t="s">
        <v>28</v>
      </c>
      <c r="D417" s="11">
        <v>1.0</v>
      </c>
      <c r="E417" s="30"/>
      <c r="F417" s="30"/>
      <c r="G417" s="30"/>
      <c r="H417" s="30"/>
      <c r="I417" s="30"/>
      <c r="J417" s="22"/>
    </row>
    <row r="418">
      <c r="A418" s="9" t="s">
        <v>1379</v>
      </c>
      <c r="B418" s="11">
        <v>59.0</v>
      </c>
      <c r="C418" s="9" t="s">
        <v>28</v>
      </c>
      <c r="D418" s="11">
        <v>2.0</v>
      </c>
      <c r="E418" s="30"/>
      <c r="F418" s="30"/>
      <c r="G418" s="30"/>
      <c r="H418" s="30"/>
      <c r="I418" s="30"/>
      <c r="J418" s="22"/>
    </row>
    <row r="419">
      <c r="A419" s="9" t="s">
        <v>1380</v>
      </c>
      <c r="B419" s="11">
        <v>59.0</v>
      </c>
      <c r="C419" s="9" t="s">
        <v>28</v>
      </c>
      <c r="D419" s="11">
        <v>3.0</v>
      </c>
      <c r="E419" s="16">
        <v>46232.0</v>
      </c>
      <c r="F419" s="11" t="s">
        <v>23</v>
      </c>
      <c r="G419" s="11">
        <v>97.6</v>
      </c>
      <c r="H419" s="11">
        <v>10.03</v>
      </c>
      <c r="I419" s="11">
        <v>8.49</v>
      </c>
      <c r="J419" s="22"/>
    </row>
    <row r="420">
      <c r="A420" s="9" t="s">
        <v>1381</v>
      </c>
      <c r="B420" s="11">
        <v>59.0</v>
      </c>
      <c r="C420" s="9" t="s">
        <v>19</v>
      </c>
      <c r="D420" s="11">
        <v>2.0</v>
      </c>
      <c r="E420" s="30"/>
      <c r="F420" s="30"/>
      <c r="G420" s="30"/>
      <c r="H420" s="30"/>
      <c r="I420" s="30"/>
      <c r="J420" s="22"/>
    </row>
    <row r="421">
      <c r="A421" s="9" t="s">
        <v>1382</v>
      </c>
      <c r="B421" s="11">
        <v>59.0</v>
      </c>
      <c r="C421" s="9" t="s">
        <v>36</v>
      </c>
      <c r="D421" s="11">
        <v>1.0</v>
      </c>
      <c r="E421" s="30"/>
      <c r="F421" s="30"/>
      <c r="G421" s="30"/>
      <c r="H421" s="30"/>
      <c r="I421" s="30"/>
      <c r="J421" s="22"/>
    </row>
    <row r="422">
      <c r="A422" s="31" t="s">
        <v>1383</v>
      </c>
      <c r="B422" s="32">
        <v>60.0</v>
      </c>
      <c r="C422" s="31" t="s">
        <v>28</v>
      </c>
      <c r="D422" s="32">
        <v>1.0</v>
      </c>
      <c r="E422" s="16">
        <v>46232.0</v>
      </c>
      <c r="F422" s="11" t="s">
        <v>23</v>
      </c>
      <c r="G422" s="11">
        <v>97.6</v>
      </c>
      <c r="H422" s="11">
        <v>10.03</v>
      </c>
      <c r="I422" s="32">
        <v>8.53</v>
      </c>
      <c r="J422" s="33"/>
    </row>
    <row r="423">
      <c r="A423" s="31" t="s">
        <v>1384</v>
      </c>
      <c r="B423" s="32">
        <v>60.0</v>
      </c>
      <c r="C423" s="31" t="s">
        <v>28</v>
      </c>
      <c r="D423" s="32">
        <v>2.0</v>
      </c>
      <c r="E423" s="34"/>
      <c r="F423" s="34"/>
      <c r="G423" s="34"/>
      <c r="H423" s="34"/>
      <c r="I423" s="34"/>
      <c r="J423" s="33"/>
    </row>
    <row r="424">
      <c r="A424" s="31" t="s">
        <v>1385</v>
      </c>
      <c r="B424" s="32">
        <v>60.0</v>
      </c>
      <c r="C424" s="31" t="s">
        <v>28</v>
      </c>
      <c r="D424" s="32">
        <v>3.0</v>
      </c>
      <c r="E424" s="34"/>
      <c r="F424" s="34"/>
      <c r="G424" s="34"/>
      <c r="H424" s="34"/>
      <c r="I424" s="34"/>
      <c r="J424" s="33"/>
    </row>
    <row r="425">
      <c r="A425" s="31" t="s">
        <v>1386</v>
      </c>
      <c r="B425" s="32">
        <v>60.0</v>
      </c>
      <c r="C425" s="31" t="s">
        <v>36</v>
      </c>
      <c r="D425" s="32">
        <v>1.0</v>
      </c>
      <c r="E425" s="16">
        <v>46232.0</v>
      </c>
      <c r="F425" s="11" t="s">
        <v>23</v>
      </c>
      <c r="G425" s="11">
        <v>97.6</v>
      </c>
      <c r="H425" s="11">
        <v>10.03</v>
      </c>
      <c r="I425" s="32">
        <v>8.46</v>
      </c>
      <c r="J425" s="33"/>
    </row>
    <row r="426">
      <c r="A426" s="31" t="s">
        <v>1387</v>
      </c>
      <c r="B426" s="32">
        <v>60.0</v>
      </c>
      <c r="C426" s="31" t="s">
        <v>36</v>
      </c>
      <c r="D426" s="32">
        <v>2.0</v>
      </c>
      <c r="E426" s="34"/>
      <c r="F426" s="34"/>
      <c r="G426" s="34"/>
      <c r="H426" s="34"/>
      <c r="I426" s="34"/>
      <c r="J426" s="33"/>
    </row>
    <row r="427">
      <c r="A427" s="31" t="s">
        <v>1388</v>
      </c>
      <c r="B427" s="32">
        <v>60.0</v>
      </c>
      <c r="C427" s="31" t="s">
        <v>36</v>
      </c>
      <c r="D427" s="32">
        <v>3.0</v>
      </c>
      <c r="E427" s="34"/>
      <c r="F427" s="34"/>
      <c r="G427" s="34"/>
      <c r="H427" s="34"/>
      <c r="I427" s="34"/>
      <c r="J427" s="33"/>
    </row>
    <row r="428">
      <c r="I428" s="36"/>
    </row>
    <row r="429">
      <c r="I429" s="36"/>
    </row>
    <row r="430">
      <c r="I430" s="36"/>
    </row>
    <row r="431">
      <c r="I431" s="36"/>
    </row>
    <row r="432">
      <c r="I432" s="36"/>
    </row>
    <row r="433">
      <c r="I433" s="36"/>
    </row>
    <row r="434">
      <c r="I434" s="36"/>
    </row>
    <row r="435">
      <c r="I435" s="36"/>
    </row>
    <row r="436">
      <c r="I436" s="36"/>
    </row>
    <row r="437">
      <c r="I437" s="36"/>
    </row>
    <row r="438">
      <c r="I438" s="36"/>
    </row>
    <row r="439">
      <c r="I439" s="36"/>
    </row>
    <row r="440">
      <c r="I440" s="36"/>
    </row>
    <row r="441">
      <c r="I441" s="36"/>
    </row>
    <row r="442">
      <c r="I442" s="36"/>
    </row>
    <row r="443">
      <c r="I443" s="36"/>
    </row>
    <row r="444">
      <c r="I444" s="36"/>
    </row>
    <row r="445">
      <c r="I445" s="36"/>
    </row>
    <row r="446">
      <c r="I446" s="36"/>
    </row>
    <row r="447">
      <c r="I447" s="36"/>
    </row>
    <row r="448">
      <c r="I448" s="36"/>
    </row>
    <row r="449">
      <c r="I449" s="36"/>
    </row>
    <row r="450">
      <c r="I450" s="36"/>
    </row>
    <row r="451">
      <c r="I451" s="36"/>
    </row>
    <row r="452">
      <c r="I452" s="36"/>
    </row>
    <row r="453">
      <c r="I453" s="36"/>
    </row>
    <row r="454">
      <c r="I454" s="36"/>
    </row>
    <row r="455">
      <c r="I455" s="36"/>
    </row>
    <row r="456">
      <c r="I456" s="36"/>
    </row>
    <row r="457">
      <c r="I457" s="36"/>
    </row>
    <row r="458">
      <c r="I458" s="36"/>
    </row>
    <row r="459">
      <c r="I459" s="36"/>
    </row>
    <row r="460">
      <c r="I460" s="36"/>
    </row>
    <row r="461">
      <c r="I461" s="36"/>
    </row>
    <row r="462">
      <c r="I462" s="36"/>
    </row>
    <row r="463">
      <c r="I463" s="36"/>
    </row>
    <row r="464">
      <c r="I464" s="36"/>
    </row>
    <row r="465">
      <c r="I465" s="36"/>
    </row>
    <row r="466">
      <c r="I466" s="36"/>
    </row>
    <row r="467">
      <c r="I467" s="36"/>
    </row>
    <row r="468">
      <c r="I468" s="36"/>
    </row>
    <row r="469">
      <c r="I469" s="36"/>
    </row>
    <row r="470">
      <c r="I470" s="36"/>
    </row>
    <row r="471">
      <c r="I471" s="36"/>
    </row>
    <row r="472">
      <c r="I472" s="36"/>
    </row>
    <row r="473">
      <c r="I473" s="36"/>
    </row>
    <row r="474">
      <c r="I474" s="36"/>
    </row>
    <row r="475">
      <c r="I475" s="36"/>
    </row>
    <row r="476">
      <c r="I476" s="36"/>
    </row>
    <row r="477">
      <c r="I477" s="36"/>
    </row>
    <row r="478">
      <c r="I478" s="36"/>
    </row>
    <row r="479">
      <c r="I479" s="36"/>
    </row>
    <row r="480">
      <c r="I480" s="36"/>
    </row>
    <row r="481">
      <c r="I481" s="36"/>
    </row>
    <row r="482">
      <c r="I482" s="36"/>
    </row>
    <row r="483">
      <c r="I483" s="36"/>
    </row>
    <row r="484">
      <c r="I484" s="36"/>
    </row>
    <row r="485">
      <c r="I485" s="36"/>
    </row>
    <row r="486">
      <c r="I486" s="36"/>
    </row>
    <row r="487">
      <c r="I487" s="36"/>
    </row>
    <row r="488">
      <c r="I488" s="36"/>
    </row>
    <row r="489">
      <c r="I489" s="36"/>
    </row>
    <row r="490">
      <c r="I490" s="36"/>
    </row>
    <row r="491">
      <c r="I491" s="36"/>
    </row>
    <row r="492">
      <c r="I492" s="36"/>
    </row>
    <row r="493">
      <c r="I493" s="36"/>
    </row>
    <row r="494">
      <c r="I494" s="36"/>
    </row>
    <row r="495">
      <c r="I495" s="36"/>
    </row>
    <row r="496">
      <c r="I496" s="36"/>
    </row>
    <row r="497">
      <c r="I497" s="36"/>
    </row>
    <row r="498">
      <c r="I498" s="36"/>
    </row>
    <row r="499">
      <c r="I499" s="36"/>
    </row>
    <row r="500">
      <c r="I500" s="36"/>
    </row>
    <row r="501">
      <c r="I501" s="36"/>
    </row>
    <row r="502">
      <c r="I502" s="36"/>
    </row>
    <row r="503">
      <c r="I503" s="36"/>
    </row>
    <row r="504">
      <c r="I504" s="36"/>
    </row>
    <row r="505">
      <c r="I505" s="36"/>
    </row>
    <row r="506">
      <c r="I506" s="36"/>
    </row>
    <row r="507">
      <c r="I507" s="36"/>
    </row>
    <row r="508">
      <c r="I508" s="36"/>
    </row>
    <row r="509">
      <c r="I509" s="36"/>
    </row>
    <row r="510">
      <c r="I510" s="36"/>
    </row>
    <row r="511">
      <c r="I511" s="36"/>
    </row>
    <row r="512">
      <c r="I512" s="36"/>
    </row>
    <row r="513">
      <c r="I513" s="36"/>
    </row>
    <row r="514">
      <c r="I514" s="36"/>
    </row>
    <row r="515">
      <c r="I515" s="36"/>
    </row>
    <row r="516">
      <c r="I516" s="36"/>
    </row>
    <row r="517">
      <c r="I517" s="36"/>
    </row>
    <row r="518">
      <c r="I518" s="36"/>
    </row>
    <row r="519">
      <c r="I519" s="36"/>
    </row>
    <row r="520">
      <c r="I520" s="36"/>
    </row>
    <row r="521">
      <c r="I521" s="36"/>
    </row>
    <row r="522">
      <c r="I522" s="36"/>
    </row>
    <row r="523">
      <c r="I523" s="36"/>
    </row>
    <row r="524">
      <c r="I524" s="36"/>
    </row>
    <row r="525">
      <c r="I525" s="36"/>
    </row>
    <row r="526">
      <c r="I526" s="36"/>
    </row>
    <row r="527">
      <c r="I527" s="36"/>
    </row>
    <row r="528">
      <c r="I528" s="36"/>
    </row>
    <row r="529">
      <c r="I529" s="36"/>
    </row>
    <row r="530">
      <c r="I530" s="36"/>
    </row>
    <row r="531">
      <c r="I531" s="36"/>
    </row>
    <row r="532">
      <c r="I532" s="36"/>
    </row>
    <row r="533">
      <c r="I533" s="36"/>
    </row>
    <row r="534">
      <c r="I534" s="36"/>
    </row>
    <row r="535">
      <c r="I535" s="36"/>
    </row>
    <row r="536">
      <c r="I536" s="36"/>
    </row>
    <row r="537">
      <c r="I537" s="36"/>
    </row>
    <row r="538">
      <c r="I538" s="36"/>
    </row>
    <row r="539">
      <c r="I539" s="36"/>
    </row>
    <row r="540">
      <c r="I540" s="36"/>
    </row>
    <row r="541">
      <c r="I541" s="36"/>
    </row>
    <row r="542">
      <c r="I542" s="36"/>
    </row>
    <row r="543">
      <c r="I543" s="36"/>
    </row>
    <row r="544">
      <c r="I544" s="36"/>
    </row>
    <row r="545">
      <c r="I545" s="36"/>
    </row>
    <row r="546">
      <c r="I546" s="36"/>
    </row>
    <row r="547">
      <c r="I547" s="36"/>
    </row>
    <row r="548">
      <c r="I548" s="36"/>
    </row>
    <row r="549">
      <c r="I549" s="36"/>
    </row>
    <row r="550">
      <c r="I550" s="36"/>
    </row>
    <row r="551">
      <c r="I551" s="36"/>
    </row>
    <row r="552">
      <c r="I552" s="36"/>
    </row>
    <row r="553">
      <c r="I553" s="36"/>
    </row>
    <row r="554">
      <c r="I554" s="36"/>
    </row>
    <row r="555">
      <c r="I555" s="36"/>
    </row>
    <row r="556">
      <c r="I556" s="36"/>
    </row>
    <row r="557">
      <c r="I557" s="36"/>
    </row>
    <row r="558">
      <c r="I558" s="36"/>
    </row>
    <row r="559">
      <c r="I559" s="36"/>
    </row>
    <row r="560">
      <c r="I560" s="36"/>
    </row>
    <row r="561">
      <c r="I561" s="36"/>
    </row>
    <row r="562">
      <c r="I562" s="36"/>
    </row>
    <row r="563">
      <c r="I563" s="36"/>
    </row>
    <row r="564">
      <c r="I564" s="36"/>
    </row>
    <row r="565">
      <c r="I565" s="36"/>
    </row>
    <row r="566">
      <c r="I566" s="36"/>
    </row>
    <row r="567">
      <c r="I567" s="36"/>
    </row>
    <row r="568">
      <c r="I568" s="36"/>
    </row>
    <row r="569">
      <c r="I569" s="36"/>
    </row>
    <row r="570">
      <c r="I570" s="36"/>
    </row>
    <row r="571">
      <c r="I571" s="36"/>
    </row>
    <row r="572">
      <c r="I572" s="36"/>
    </row>
    <row r="573">
      <c r="I573" s="36"/>
    </row>
    <row r="574">
      <c r="I574" s="36"/>
    </row>
    <row r="575">
      <c r="I575" s="36"/>
    </row>
    <row r="576">
      <c r="I576" s="36"/>
    </row>
    <row r="577">
      <c r="I577" s="36"/>
    </row>
    <row r="578">
      <c r="I578" s="36"/>
    </row>
    <row r="579">
      <c r="I579" s="36"/>
    </row>
    <row r="580">
      <c r="I580" s="36"/>
    </row>
    <row r="581">
      <c r="I581" s="36"/>
    </row>
    <row r="582">
      <c r="I582" s="36"/>
    </row>
    <row r="583">
      <c r="I583" s="36"/>
    </row>
    <row r="584">
      <c r="I584" s="36"/>
    </row>
    <row r="585">
      <c r="I585" s="36"/>
    </row>
    <row r="586">
      <c r="I586" s="36"/>
    </row>
    <row r="587">
      <c r="I587" s="36"/>
    </row>
    <row r="588">
      <c r="I588" s="36"/>
    </row>
    <row r="589">
      <c r="I589" s="36"/>
    </row>
    <row r="590">
      <c r="I590" s="36"/>
    </row>
    <row r="591">
      <c r="I591" s="36"/>
    </row>
    <row r="592">
      <c r="I592" s="36"/>
    </row>
    <row r="593">
      <c r="I593" s="36"/>
    </row>
    <row r="594">
      <c r="I594" s="36"/>
    </row>
    <row r="595">
      <c r="I595" s="36"/>
    </row>
    <row r="596">
      <c r="I596" s="36"/>
    </row>
    <row r="597">
      <c r="I597" s="36"/>
    </row>
    <row r="598">
      <c r="I598" s="36"/>
    </row>
    <row r="599">
      <c r="I599" s="36"/>
    </row>
    <row r="600">
      <c r="I600" s="36"/>
    </row>
    <row r="601">
      <c r="I601" s="36"/>
    </row>
    <row r="602">
      <c r="I602" s="36"/>
    </row>
    <row r="603">
      <c r="I603" s="36"/>
    </row>
    <row r="604">
      <c r="I604" s="36"/>
    </row>
    <row r="605">
      <c r="I605" s="36"/>
    </row>
    <row r="606">
      <c r="I606" s="36"/>
    </row>
    <row r="607">
      <c r="I607" s="36"/>
    </row>
    <row r="608">
      <c r="I608" s="36"/>
    </row>
    <row r="609">
      <c r="I609" s="36"/>
    </row>
    <row r="610">
      <c r="I610" s="36"/>
    </row>
    <row r="611">
      <c r="I611" s="36"/>
    </row>
    <row r="612">
      <c r="I612" s="36"/>
    </row>
    <row r="613">
      <c r="I613" s="36"/>
    </row>
    <row r="614">
      <c r="I614" s="36"/>
    </row>
    <row r="615">
      <c r="I615" s="36"/>
    </row>
    <row r="616">
      <c r="I616" s="36"/>
    </row>
    <row r="617">
      <c r="I617" s="36"/>
    </row>
    <row r="618">
      <c r="I618" s="36"/>
    </row>
    <row r="619">
      <c r="I619" s="36"/>
    </row>
    <row r="620">
      <c r="I620" s="36"/>
    </row>
    <row r="621">
      <c r="I621" s="36"/>
    </row>
    <row r="622">
      <c r="I622" s="36"/>
    </row>
    <row r="623">
      <c r="I623" s="36"/>
    </row>
    <row r="624">
      <c r="I624" s="36"/>
    </row>
    <row r="625">
      <c r="I625" s="36"/>
    </row>
    <row r="626">
      <c r="I626" s="36"/>
    </row>
    <row r="627">
      <c r="I627" s="36"/>
    </row>
    <row r="628">
      <c r="I628" s="36"/>
    </row>
    <row r="629">
      <c r="I629" s="36"/>
    </row>
    <row r="630">
      <c r="I630" s="36"/>
    </row>
    <row r="631">
      <c r="I631" s="36"/>
    </row>
    <row r="632">
      <c r="I632" s="36"/>
    </row>
    <row r="633">
      <c r="I633" s="36"/>
    </row>
    <row r="634">
      <c r="I634" s="36"/>
    </row>
    <row r="635">
      <c r="I635" s="36"/>
    </row>
    <row r="636">
      <c r="I636" s="36"/>
    </row>
    <row r="637">
      <c r="I637" s="36"/>
    </row>
    <row r="638">
      <c r="I638" s="36"/>
    </row>
    <row r="639">
      <c r="I639" s="36"/>
    </row>
    <row r="640">
      <c r="I640" s="36"/>
    </row>
    <row r="641">
      <c r="I641" s="36"/>
    </row>
    <row r="642">
      <c r="I642" s="36"/>
    </row>
    <row r="643">
      <c r="I643" s="36"/>
    </row>
    <row r="644">
      <c r="I644" s="36"/>
    </row>
    <row r="645">
      <c r="I645" s="36"/>
    </row>
    <row r="646">
      <c r="I646" s="36"/>
    </row>
    <row r="647">
      <c r="I647" s="36"/>
    </row>
    <row r="648">
      <c r="I648" s="36"/>
    </row>
    <row r="649">
      <c r="I649" s="36"/>
    </row>
    <row r="650">
      <c r="I650" s="36"/>
    </row>
    <row r="651">
      <c r="I651" s="36"/>
    </row>
    <row r="652">
      <c r="I652" s="36"/>
    </row>
    <row r="653">
      <c r="I653" s="36"/>
    </row>
    <row r="654">
      <c r="I654" s="36"/>
    </row>
    <row r="655">
      <c r="I655" s="36"/>
    </row>
    <row r="656">
      <c r="I656" s="36"/>
    </row>
    <row r="657">
      <c r="I657" s="36"/>
    </row>
    <row r="658">
      <c r="I658" s="36"/>
    </row>
    <row r="659">
      <c r="I659" s="36"/>
    </row>
    <row r="660">
      <c r="I660" s="36"/>
    </row>
    <row r="661">
      <c r="I661" s="36"/>
    </row>
    <row r="662">
      <c r="I662" s="36"/>
    </row>
    <row r="663">
      <c r="I663" s="36"/>
    </row>
    <row r="664">
      <c r="I664" s="36"/>
    </row>
    <row r="665">
      <c r="I665" s="36"/>
    </row>
    <row r="666">
      <c r="I666" s="36"/>
    </row>
    <row r="667">
      <c r="I667" s="36"/>
    </row>
    <row r="668">
      <c r="I668" s="36"/>
    </row>
    <row r="669">
      <c r="I669" s="36"/>
    </row>
    <row r="670">
      <c r="I670" s="36"/>
    </row>
    <row r="671">
      <c r="I671" s="36"/>
    </row>
    <row r="672">
      <c r="I672" s="36"/>
    </row>
    <row r="673">
      <c r="I673" s="36"/>
    </row>
    <row r="674">
      <c r="I674" s="36"/>
    </row>
    <row r="675">
      <c r="I675" s="36"/>
    </row>
    <row r="676">
      <c r="I676" s="36"/>
    </row>
    <row r="677">
      <c r="I677" s="36"/>
    </row>
    <row r="678">
      <c r="I678" s="36"/>
    </row>
    <row r="679">
      <c r="I679" s="36"/>
    </row>
    <row r="680">
      <c r="I680" s="36"/>
    </row>
    <row r="681">
      <c r="I681" s="36"/>
    </row>
    <row r="682">
      <c r="I682" s="36"/>
    </row>
    <row r="683">
      <c r="I683" s="36"/>
    </row>
    <row r="684">
      <c r="I684" s="36"/>
    </row>
    <row r="685">
      <c r="I685" s="36"/>
    </row>
    <row r="686">
      <c r="I686" s="36"/>
    </row>
    <row r="687">
      <c r="I687" s="36"/>
    </row>
    <row r="688">
      <c r="I688" s="36"/>
    </row>
    <row r="689">
      <c r="I689" s="36"/>
    </row>
    <row r="690">
      <c r="I690" s="36"/>
    </row>
    <row r="691">
      <c r="I691" s="36"/>
    </row>
    <row r="692">
      <c r="I692" s="36"/>
    </row>
    <row r="693">
      <c r="I693" s="36"/>
    </row>
    <row r="694">
      <c r="I694" s="36"/>
    </row>
    <row r="695">
      <c r="I695" s="36"/>
    </row>
    <row r="696">
      <c r="I696" s="36"/>
    </row>
    <row r="697">
      <c r="I697" s="36"/>
    </row>
    <row r="698">
      <c r="I698" s="36"/>
    </row>
    <row r="699">
      <c r="I699" s="36"/>
    </row>
    <row r="700">
      <c r="I700" s="36"/>
    </row>
    <row r="701">
      <c r="I701" s="36"/>
    </row>
    <row r="702">
      <c r="I702" s="36"/>
    </row>
    <row r="703">
      <c r="I703" s="36"/>
    </row>
    <row r="704">
      <c r="I704" s="36"/>
    </row>
    <row r="705">
      <c r="I705" s="36"/>
    </row>
    <row r="706">
      <c r="I706" s="36"/>
    </row>
    <row r="707">
      <c r="I707" s="36"/>
    </row>
    <row r="708">
      <c r="I708" s="36"/>
    </row>
    <row r="709">
      <c r="I709" s="36"/>
    </row>
    <row r="710">
      <c r="I710" s="36"/>
    </row>
    <row r="711">
      <c r="I711" s="36"/>
    </row>
    <row r="712">
      <c r="I712" s="36"/>
    </row>
    <row r="713">
      <c r="I713" s="36"/>
    </row>
    <row r="714">
      <c r="I714" s="36"/>
    </row>
    <row r="715">
      <c r="I715" s="36"/>
    </row>
    <row r="716">
      <c r="I716" s="36"/>
    </row>
    <row r="717">
      <c r="I717" s="36"/>
    </row>
    <row r="718">
      <c r="I718" s="36"/>
    </row>
    <row r="719">
      <c r="I719" s="36"/>
    </row>
    <row r="720">
      <c r="I720" s="36"/>
    </row>
    <row r="721">
      <c r="I721" s="36"/>
    </row>
    <row r="722">
      <c r="I722" s="36"/>
    </row>
    <row r="723">
      <c r="I723" s="36"/>
    </row>
    <row r="724">
      <c r="I724" s="36"/>
    </row>
    <row r="725">
      <c r="I725" s="36"/>
    </row>
    <row r="726">
      <c r="I726" s="36"/>
    </row>
    <row r="727">
      <c r="I727" s="36"/>
    </row>
    <row r="728">
      <c r="I728" s="36"/>
    </row>
    <row r="729">
      <c r="I729" s="36"/>
    </row>
    <row r="730">
      <c r="I730" s="36"/>
    </row>
    <row r="731">
      <c r="I731" s="36"/>
    </row>
    <row r="732">
      <c r="I732" s="36"/>
    </row>
    <row r="733">
      <c r="I733" s="36"/>
    </row>
    <row r="734">
      <c r="I734" s="36"/>
    </row>
    <row r="735">
      <c r="I735" s="36"/>
    </row>
    <row r="736">
      <c r="I736" s="36"/>
    </row>
    <row r="737">
      <c r="I737" s="36"/>
    </row>
    <row r="738">
      <c r="I738" s="36"/>
    </row>
    <row r="739">
      <c r="I739" s="36"/>
    </row>
    <row r="740">
      <c r="I740" s="36"/>
    </row>
    <row r="741">
      <c r="I741" s="36"/>
    </row>
    <row r="742">
      <c r="I742" s="36"/>
    </row>
    <row r="743">
      <c r="I743" s="36"/>
    </row>
    <row r="744">
      <c r="I744" s="36"/>
    </row>
    <row r="745">
      <c r="I745" s="36"/>
    </row>
    <row r="746">
      <c r="I746" s="36"/>
    </row>
    <row r="747">
      <c r="I747" s="36"/>
    </row>
    <row r="748">
      <c r="I748" s="36"/>
    </row>
    <row r="749">
      <c r="I749" s="36"/>
    </row>
    <row r="750">
      <c r="I750" s="36"/>
    </row>
    <row r="751">
      <c r="I751" s="36"/>
    </row>
    <row r="752">
      <c r="I752" s="36"/>
    </row>
    <row r="753">
      <c r="I753" s="36"/>
    </row>
    <row r="754">
      <c r="I754" s="36"/>
    </row>
    <row r="755">
      <c r="I755" s="36"/>
    </row>
    <row r="756">
      <c r="I756" s="36"/>
    </row>
    <row r="757">
      <c r="I757" s="36"/>
    </row>
    <row r="758">
      <c r="I758" s="36"/>
    </row>
    <row r="759">
      <c r="I759" s="36"/>
    </row>
    <row r="760">
      <c r="I760" s="36"/>
    </row>
    <row r="761">
      <c r="I761" s="36"/>
    </row>
    <row r="762">
      <c r="I762" s="36"/>
    </row>
    <row r="763">
      <c r="I763" s="36"/>
    </row>
    <row r="764">
      <c r="I764" s="36"/>
    </row>
    <row r="765">
      <c r="I765" s="36"/>
    </row>
    <row r="766">
      <c r="I766" s="36"/>
    </row>
    <row r="767">
      <c r="I767" s="36"/>
    </row>
    <row r="768">
      <c r="I768" s="36"/>
    </row>
    <row r="769">
      <c r="I769" s="36"/>
    </row>
    <row r="770">
      <c r="I770" s="36"/>
    </row>
    <row r="771">
      <c r="I771" s="36"/>
    </row>
    <row r="772">
      <c r="I772" s="36"/>
    </row>
    <row r="773">
      <c r="I773" s="36"/>
    </row>
    <row r="774">
      <c r="I774" s="36"/>
    </row>
    <row r="775">
      <c r="I775" s="36"/>
    </row>
    <row r="776">
      <c r="I776" s="36"/>
    </row>
    <row r="777">
      <c r="I777" s="36"/>
    </row>
    <row r="778">
      <c r="I778" s="36"/>
    </row>
    <row r="779">
      <c r="I779" s="36"/>
    </row>
    <row r="780">
      <c r="I780" s="36"/>
    </row>
    <row r="781">
      <c r="I781" s="36"/>
    </row>
    <row r="782">
      <c r="I782" s="36"/>
    </row>
    <row r="783">
      <c r="I783" s="36"/>
    </row>
    <row r="784">
      <c r="I784" s="36"/>
    </row>
    <row r="785">
      <c r="I785" s="36"/>
    </row>
    <row r="786">
      <c r="I786" s="36"/>
    </row>
    <row r="787">
      <c r="I787" s="36"/>
    </row>
    <row r="788">
      <c r="I788" s="36"/>
    </row>
    <row r="789">
      <c r="I789" s="36"/>
    </row>
    <row r="790">
      <c r="I790" s="36"/>
    </row>
    <row r="791">
      <c r="I791" s="36"/>
    </row>
    <row r="792">
      <c r="I792" s="36"/>
    </row>
    <row r="793">
      <c r="I793" s="36"/>
    </row>
    <row r="794">
      <c r="I794" s="36"/>
    </row>
    <row r="795">
      <c r="I795" s="36"/>
    </row>
    <row r="796">
      <c r="I796" s="36"/>
    </row>
    <row r="797">
      <c r="I797" s="36"/>
    </row>
    <row r="798">
      <c r="I798" s="36"/>
    </row>
    <row r="799">
      <c r="I799" s="36"/>
    </row>
    <row r="800">
      <c r="I800" s="36"/>
    </row>
    <row r="801">
      <c r="I801" s="36"/>
    </row>
    <row r="802">
      <c r="I802" s="36"/>
    </row>
    <row r="803">
      <c r="I803" s="36"/>
    </row>
    <row r="804">
      <c r="I804" s="36"/>
    </row>
    <row r="805">
      <c r="I805" s="36"/>
    </row>
    <row r="806">
      <c r="I806" s="36"/>
    </row>
    <row r="807">
      <c r="I807" s="36"/>
    </row>
    <row r="808">
      <c r="I808" s="36"/>
    </row>
    <row r="809">
      <c r="I809" s="36"/>
    </row>
    <row r="810">
      <c r="I810" s="36"/>
    </row>
    <row r="811">
      <c r="I811" s="36"/>
    </row>
    <row r="812">
      <c r="I812" s="36"/>
    </row>
    <row r="813">
      <c r="I813" s="36"/>
    </row>
    <row r="814">
      <c r="I814" s="36"/>
    </row>
    <row r="815">
      <c r="I815" s="36"/>
    </row>
    <row r="816">
      <c r="I816" s="36"/>
    </row>
    <row r="817">
      <c r="I817" s="36"/>
    </row>
    <row r="818">
      <c r="I818" s="36"/>
    </row>
    <row r="819">
      <c r="I819" s="36"/>
    </row>
    <row r="820">
      <c r="I820" s="36"/>
    </row>
    <row r="821">
      <c r="I821" s="36"/>
    </row>
    <row r="822">
      <c r="I822" s="36"/>
    </row>
    <row r="823">
      <c r="I823" s="36"/>
    </row>
    <row r="824">
      <c r="I824" s="36"/>
    </row>
    <row r="825">
      <c r="I825" s="36"/>
    </row>
    <row r="826">
      <c r="I826" s="36"/>
    </row>
    <row r="827">
      <c r="I827" s="36"/>
    </row>
    <row r="828">
      <c r="I828" s="36"/>
    </row>
    <row r="829">
      <c r="I829" s="36"/>
    </row>
    <row r="830">
      <c r="I830" s="36"/>
    </row>
    <row r="831">
      <c r="I831" s="36"/>
    </row>
    <row r="832">
      <c r="I832" s="36"/>
    </row>
    <row r="833">
      <c r="I833" s="36"/>
    </row>
    <row r="834">
      <c r="I834" s="36"/>
    </row>
    <row r="835">
      <c r="I835" s="36"/>
    </row>
    <row r="836">
      <c r="I836" s="36"/>
    </row>
    <row r="837">
      <c r="I837" s="36"/>
    </row>
    <row r="838">
      <c r="I838" s="36"/>
    </row>
    <row r="839">
      <c r="I839" s="36"/>
    </row>
    <row r="840">
      <c r="I840" s="36"/>
    </row>
    <row r="841">
      <c r="I841" s="36"/>
    </row>
    <row r="842">
      <c r="I842" s="36"/>
    </row>
    <row r="843">
      <c r="I843" s="36"/>
    </row>
    <row r="844">
      <c r="I844" s="36"/>
    </row>
    <row r="845">
      <c r="I845" s="36"/>
    </row>
    <row r="846">
      <c r="I846" s="36"/>
    </row>
    <row r="847">
      <c r="I847" s="36"/>
    </row>
    <row r="848">
      <c r="I848" s="36"/>
    </row>
    <row r="849">
      <c r="I849" s="36"/>
    </row>
    <row r="850">
      <c r="I850" s="36"/>
    </row>
    <row r="851">
      <c r="I851" s="36"/>
    </row>
    <row r="852">
      <c r="I852" s="36"/>
    </row>
    <row r="853">
      <c r="I853" s="36"/>
    </row>
    <row r="854">
      <c r="I854" s="36"/>
    </row>
    <row r="855">
      <c r="I855" s="36"/>
    </row>
    <row r="856">
      <c r="I856" s="36"/>
    </row>
    <row r="857">
      <c r="I857" s="36"/>
    </row>
    <row r="858">
      <c r="I858" s="36"/>
    </row>
    <row r="859">
      <c r="I859" s="36"/>
    </row>
    <row r="860">
      <c r="I860" s="36"/>
    </row>
    <row r="861">
      <c r="I861" s="36"/>
    </row>
    <row r="862">
      <c r="I862" s="36"/>
    </row>
    <row r="863">
      <c r="I863" s="36"/>
    </row>
    <row r="864">
      <c r="I864" s="36"/>
    </row>
    <row r="865">
      <c r="I865" s="36"/>
    </row>
    <row r="866">
      <c r="I866" s="36"/>
    </row>
    <row r="867">
      <c r="I867" s="36"/>
    </row>
    <row r="868">
      <c r="I868" s="36"/>
    </row>
    <row r="869">
      <c r="I869" s="36"/>
    </row>
    <row r="870">
      <c r="I870" s="36"/>
    </row>
    <row r="871">
      <c r="I871" s="36"/>
    </row>
    <row r="872">
      <c r="I872" s="36"/>
    </row>
    <row r="873">
      <c r="I873" s="36"/>
    </row>
    <row r="874">
      <c r="I874" s="36"/>
    </row>
    <row r="875">
      <c r="I875" s="36"/>
    </row>
    <row r="876">
      <c r="I876" s="36"/>
    </row>
    <row r="877">
      <c r="I877" s="36"/>
    </row>
    <row r="878">
      <c r="I878" s="36"/>
    </row>
    <row r="879">
      <c r="I879" s="36"/>
    </row>
    <row r="880">
      <c r="I880" s="36"/>
    </row>
    <row r="881">
      <c r="I881" s="36"/>
    </row>
    <row r="882">
      <c r="I882" s="36"/>
    </row>
    <row r="883">
      <c r="I883" s="36"/>
    </row>
    <row r="884">
      <c r="I884" s="36"/>
    </row>
    <row r="885">
      <c r="I885" s="36"/>
    </row>
    <row r="886">
      <c r="I886" s="36"/>
    </row>
    <row r="887">
      <c r="I887" s="36"/>
    </row>
    <row r="888">
      <c r="I888" s="36"/>
    </row>
    <row r="889">
      <c r="I889" s="36"/>
    </row>
    <row r="890">
      <c r="I890" s="36"/>
    </row>
    <row r="891">
      <c r="I891" s="36"/>
    </row>
    <row r="892">
      <c r="I892" s="36"/>
    </row>
    <row r="893">
      <c r="I893" s="36"/>
    </row>
    <row r="894">
      <c r="I894" s="36"/>
    </row>
    <row r="895">
      <c r="I895" s="36"/>
    </row>
    <row r="896">
      <c r="I896" s="36"/>
    </row>
    <row r="897">
      <c r="I897" s="36"/>
    </row>
    <row r="898">
      <c r="I898" s="36"/>
    </row>
    <row r="899">
      <c r="I899" s="36"/>
    </row>
    <row r="900">
      <c r="I900" s="36"/>
    </row>
    <row r="901">
      <c r="I901" s="36"/>
    </row>
    <row r="902">
      <c r="I902" s="36"/>
    </row>
    <row r="903">
      <c r="I903" s="36"/>
    </row>
    <row r="904">
      <c r="I904" s="36"/>
    </row>
    <row r="905">
      <c r="I905" s="36"/>
    </row>
    <row r="906">
      <c r="I906" s="36"/>
    </row>
    <row r="907">
      <c r="I907" s="36"/>
    </row>
    <row r="908">
      <c r="I908" s="36"/>
    </row>
    <row r="909">
      <c r="I909" s="36"/>
    </row>
    <row r="910">
      <c r="I910" s="36"/>
    </row>
    <row r="911">
      <c r="I911" s="36"/>
    </row>
    <row r="912">
      <c r="I912" s="36"/>
    </row>
    <row r="913">
      <c r="I913" s="36"/>
    </row>
    <row r="914">
      <c r="I914" s="36"/>
    </row>
    <row r="915">
      <c r="I915" s="36"/>
    </row>
    <row r="916">
      <c r="I916" s="36"/>
    </row>
    <row r="917">
      <c r="I917" s="36"/>
    </row>
    <row r="918">
      <c r="I918" s="36"/>
    </row>
    <row r="919">
      <c r="I919" s="36"/>
    </row>
    <row r="920">
      <c r="I920" s="36"/>
    </row>
    <row r="921">
      <c r="I921" s="36"/>
    </row>
    <row r="922">
      <c r="I922" s="36"/>
    </row>
    <row r="923">
      <c r="I923" s="36"/>
    </row>
    <row r="924">
      <c r="I924" s="36"/>
    </row>
    <row r="925">
      <c r="I925" s="36"/>
    </row>
    <row r="926">
      <c r="I926" s="36"/>
    </row>
    <row r="927">
      <c r="I927" s="36"/>
    </row>
    <row r="928">
      <c r="I928" s="36"/>
    </row>
    <row r="929">
      <c r="I929" s="36"/>
    </row>
    <row r="930">
      <c r="I930" s="36"/>
    </row>
    <row r="931">
      <c r="I931" s="36"/>
    </row>
    <row r="932">
      <c r="I932" s="36"/>
    </row>
    <row r="933">
      <c r="I933" s="36"/>
    </row>
    <row r="934">
      <c r="I934" s="36"/>
    </row>
    <row r="935">
      <c r="I935" s="36"/>
    </row>
    <row r="936">
      <c r="I936" s="36"/>
    </row>
    <row r="937">
      <c r="I937" s="36"/>
    </row>
    <row r="938">
      <c r="I938" s="36"/>
    </row>
    <row r="939">
      <c r="I939" s="36"/>
    </row>
    <row r="940">
      <c r="I940" s="36"/>
    </row>
    <row r="941">
      <c r="I941" s="36"/>
    </row>
    <row r="942">
      <c r="I942" s="36"/>
    </row>
    <row r="943">
      <c r="I943" s="36"/>
    </row>
    <row r="944">
      <c r="I944" s="36"/>
    </row>
    <row r="945">
      <c r="I945" s="36"/>
    </row>
    <row r="946">
      <c r="I946" s="36"/>
    </row>
    <row r="947">
      <c r="I947" s="36"/>
    </row>
    <row r="948">
      <c r="I948" s="36"/>
    </row>
    <row r="949">
      <c r="I949" s="36"/>
    </row>
    <row r="950">
      <c r="I950" s="36"/>
    </row>
    <row r="951">
      <c r="I951" s="36"/>
    </row>
    <row r="952">
      <c r="I952" s="36"/>
    </row>
    <row r="953">
      <c r="I953" s="36"/>
    </row>
    <row r="954">
      <c r="I954" s="36"/>
    </row>
    <row r="955">
      <c r="I955" s="36"/>
    </row>
    <row r="956">
      <c r="I956" s="36"/>
    </row>
    <row r="957">
      <c r="I957" s="36"/>
    </row>
    <row r="958">
      <c r="I958" s="36"/>
    </row>
    <row r="959">
      <c r="I959" s="36"/>
    </row>
    <row r="960">
      <c r="I960" s="36"/>
    </row>
    <row r="961">
      <c r="I961" s="36"/>
    </row>
    <row r="962">
      <c r="I962" s="36"/>
    </row>
    <row r="963">
      <c r="I963" s="36"/>
    </row>
    <row r="964">
      <c r="I964" s="36"/>
    </row>
    <row r="965">
      <c r="I965" s="36"/>
    </row>
    <row r="966">
      <c r="I966" s="36"/>
    </row>
    <row r="967">
      <c r="I967" s="36"/>
    </row>
    <row r="968">
      <c r="I968" s="36"/>
    </row>
    <row r="969">
      <c r="I969" s="36"/>
    </row>
    <row r="970">
      <c r="I970" s="36"/>
    </row>
    <row r="971">
      <c r="I971" s="36"/>
    </row>
    <row r="972">
      <c r="I972" s="36"/>
    </row>
    <row r="973">
      <c r="I973" s="36"/>
    </row>
    <row r="974">
      <c r="I974" s="36"/>
    </row>
    <row r="975">
      <c r="I975" s="36"/>
    </row>
    <row r="976">
      <c r="I976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  <c r="J1" s="3" t="s">
        <v>13</v>
      </c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9" t="s">
        <v>119</v>
      </c>
      <c r="B2" s="11">
        <v>1.0</v>
      </c>
      <c r="C2" s="9" t="s">
        <v>28</v>
      </c>
      <c r="D2" s="11">
        <v>1.0</v>
      </c>
      <c r="E2" s="16">
        <v>46217.0</v>
      </c>
      <c r="F2" s="11" t="s">
        <v>23</v>
      </c>
      <c r="G2" s="18">
        <v>95.5</v>
      </c>
      <c r="H2" s="11">
        <v>8.23</v>
      </c>
      <c r="I2" s="30"/>
      <c r="J2" s="22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9" t="s">
        <v>122</v>
      </c>
      <c r="B3" s="11">
        <v>1.0</v>
      </c>
      <c r="C3" s="9" t="s">
        <v>19</v>
      </c>
      <c r="D3" s="11">
        <v>1.0</v>
      </c>
      <c r="E3" s="16">
        <v>46217.0</v>
      </c>
      <c r="F3" s="11" t="s">
        <v>23</v>
      </c>
      <c r="G3" s="18">
        <v>95.5</v>
      </c>
      <c r="H3" s="11">
        <v>8.2</v>
      </c>
      <c r="I3" s="30"/>
      <c r="J3" s="22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9" t="s">
        <v>125</v>
      </c>
      <c r="B4" s="11">
        <v>1.0</v>
      </c>
      <c r="C4" s="9" t="s">
        <v>36</v>
      </c>
      <c r="D4" s="11">
        <v>1.0</v>
      </c>
      <c r="E4" s="16">
        <v>46217.0</v>
      </c>
      <c r="F4" s="11" t="s">
        <v>23</v>
      </c>
      <c r="G4" s="18">
        <v>95.5</v>
      </c>
      <c r="H4" s="11">
        <v>8.1</v>
      </c>
      <c r="I4" s="30"/>
      <c r="J4" s="22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1" t="s">
        <v>128</v>
      </c>
      <c r="B5" s="32">
        <v>2.0</v>
      </c>
      <c r="C5" s="31" t="s">
        <v>28</v>
      </c>
      <c r="D5" s="32">
        <v>1.0</v>
      </c>
      <c r="E5" s="37">
        <v>46217.0</v>
      </c>
      <c r="F5" s="32" t="s">
        <v>23</v>
      </c>
      <c r="G5" s="38">
        <v>95.5</v>
      </c>
      <c r="H5" s="32">
        <v>7.91</v>
      </c>
      <c r="I5" s="34"/>
      <c r="J5" s="33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1" t="s">
        <v>132</v>
      </c>
      <c r="B6" s="32">
        <v>2.0</v>
      </c>
      <c r="C6" s="31" t="s">
        <v>19</v>
      </c>
      <c r="D6" s="32">
        <v>1.0</v>
      </c>
      <c r="E6" s="37">
        <v>46217.0</v>
      </c>
      <c r="F6" s="32" t="s">
        <v>23</v>
      </c>
      <c r="G6" s="38">
        <v>95.5</v>
      </c>
      <c r="H6" s="32">
        <v>8.06</v>
      </c>
      <c r="I6" s="34"/>
      <c r="J6" s="33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9" t="s">
        <v>135</v>
      </c>
      <c r="B7" s="11">
        <v>3.0</v>
      </c>
      <c r="C7" s="9" t="s">
        <v>28</v>
      </c>
      <c r="D7" s="11">
        <v>1.0</v>
      </c>
      <c r="E7" s="16">
        <v>46217.0</v>
      </c>
      <c r="F7" s="11" t="s">
        <v>23</v>
      </c>
      <c r="G7" s="18">
        <v>95.5</v>
      </c>
      <c r="H7" s="11" t="s">
        <v>71</v>
      </c>
      <c r="I7" s="30"/>
      <c r="J7" s="9" t="s">
        <v>73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9" t="s">
        <v>138</v>
      </c>
      <c r="B8" s="11">
        <v>3.0</v>
      </c>
      <c r="C8" s="9" t="s">
        <v>19</v>
      </c>
      <c r="D8" s="11">
        <v>1.0</v>
      </c>
      <c r="E8" s="16">
        <v>46217.0</v>
      </c>
      <c r="F8" s="11" t="s">
        <v>23</v>
      </c>
      <c r="G8" s="18">
        <v>95.5</v>
      </c>
      <c r="H8" s="11">
        <v>7.97</v>
      </c>
      <c r="I8" s="30"/>
      <c r="J8" s="22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9" t="s">
        <v>142</v>
      </c>
      <c r="B9" s="11">
        <v>3.0</v>
      </c>
      <c r="C9" s="9" t="s">
        <v>36</v>
      </c>
      <c r="D9" s="11">
        <v>1.0</v>
      </c>
      <c r="E9" s="16">
        <v>46217.0</v>
      </c>
      <c r="F9" s="11" t="s">
        <v>23</v>
      </c>
      <c r="G9" s="18">
        <v>95.5</v>
      </c>
      <c r="H9" s="11">
        <v>7.96</v>
      </c>
      <c r="I9" s="30"/>
      <c r="J9" s="22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1" t="s">
        <v>144</v>
      </c>
      <c r="B10" s="32">
        <v>4.0</v>
      </c>
      <c r="C10" s="31" t="s">
        <v>28</v>
      </c>
      <c r="D10" s="32">
        <v>1.0</v>
      </c>
      <c r="E10" s="16">
        <v>46232.0</v>
      </c>
      <c r="F10" s="11" t="s">
        <v>23</v>
      </c>
      <c r="G10" s="11">
        <v>97.6</v>
      </c>
      <c r="H10" s="11">
        <v>10.07</v>
      </c>
      <c r="I10" s="32">
        <v>8.07</v>
      </c>
      <c r="J10" s="33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1" t="s">
        <v>149</v>
      </c>
      <c r="B11" s="32">
        <v>4.0</v>
      </c>
      <c r="C11" s="31" t="s">
        <v>19</v>
      </c>
      <c r="D11" s="32">
        <v>1.0</v>
      </c>
      <c r="E11" s="16">
        <v>46232.0</v>
      </c>
      <c r="F11" s="11" t="s">
        <v>23</v>
      </c>
      <c r="G11" s="11">
        <v>97.6</v>
      </c>
      <c r="H11" s="11">
        <v>10.07</v>
      </c>
      <c r="I11" s="32">
        <v>7.8</v>
      </c>
      <c r="J11" s="33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1" t="s">
        <v>153</v>
      </c>
      <c r="B12" s="32">
        <v>4.0</v>
      </c>
      <c r="C12" s="31" t="s">
        <v>36</v>
      </c>
      <c r="D12" s="32">
        <v>1.0</v>
      </c>
      <c r="E12" s="16">
        <v>46232.0</v>
      </c>
      <c r="F12" s="11" t="s">
        <v>23</v>
      </c>
      <c r="G12" s="11">
        <v>97.6</v>
      </c>
      <c r="H12" s="11">
        <v>10.07</v>
      </c>
      <c r="I12" s="32">
        <v>7.72</v>
      </c>
      <c r="J12" s="33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9" t="s">
        <v>158</v>
      </c>
      <c r="B13" s="11">
        <v>5.0</v>
      </c>
      <c r="C13" s="9" t="s">
        <v>28</v>
      </c>
      <c r="D13" s="11">
        <v>1.0</v>
      </c>
      <c r="E13" s="16">
        <v>46232.0</v>
      </c>
      <c r="F13" s="11" t="s">
        <v>23</v>
      </c>
      <c r="G13" s="11">
        <v>97.6</v>
      </c>
      <c r="H13" s="11">
        <v>10.07</v>
      </c>
      <c r="I13" s="11">
        <v>8.04</v>
      </c>
      <c r="J13" s="22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9" t="s">
        <v>161</v>
      </c>
      <c r="B14" s="11">
        <v>5.0</v>
      </c>
      <c r="C14" s="9" t="s">
        <v>19</v>
      </c>
      <c r="D14" s="11">
        <v>1.0</v>
      </c>
      <c r="E14" s="16">
        <v>46232.0</v>
      </c>
      <c r="F14" s="11" t="s">
        <v>23</v>
      </c>
      <c r="G14" s="11">
        <v>97.6</v>
      </c>
      <c r="H14" s="11">
        <v>10.07</v>
      </c>
      <c r="I14" s="11">
        <v>7.86</v>
      </c>
      <c r="J14" s="22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9" t="s">
        <v>166</v>
      </c>
      <c r="B15" s="11">
        <v>5.0</v>
      </c>
      <c r="C15" s="9" t="s">
        <v>36</v>
      </c>
      <c r="D15" s="11">
        <v>1.0</v>
      </c>
      <c r="E15" s="16">
        <v>46232.0</v>
      </c>
      <c r="F15" s="11" t="s">
        <v>23</v>
      </c>
      <c r="G15" s="11">
        <v>97.6</v>
      </c>
      <c r="H15" s="11">
        <v>10.07</v>
      </c>
      <c r="I15" s="11">
        <v>7.7</v>
      </c>
      <c r="J15" s="22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1" t="s">
        <v>171</v>
      </c>
      <c r="B16" s="32">
        <v>6.0</v>
      </c>
      <c r="C16" s="31" t="s">
        <v>28</v>
      </c>
      <c r="D16" s="32">
        <v>1.0</v>
      </c>
      <c r="E16" s="34"/>
      <c r="F16" s="34"/>
      <c r="G16" s="34"/>
      <c r="H16" s="34"/>
      <c r="I16" s="34"/>
      <c r="J16" s="33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1" t="s">
        <v>176</v>
      </c>
      <c r="B17" s="32">
        <v>6.0</v>
      </c>
      <c r="C17" s="31" t="s">
        <v>19</v>
      </c>
      <c r="D17" s="32">
        <v>1.0</v>
      </c>
      <c r="E17" s="34"/>
      <c r="F17" s="34"/>
      <c r="G17" s="34"/>
      <c r="H17" s="34"/>
      <c r="I17" s="34"/>
      <c r="J17" s="33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1" t="s">
        <v>180</v>
      </c>
      <c r="B18" s="32">
        <v>6.0</v>
      </c>
      <c r="C18" s="31" t="s">
        <v>36</v>
      </c>
      <c r="D18" s="32">
        <v>1.0</v>
      </c>
      <c r="E18" s="34"/>
      <c r="F18" s="34"/>
      <c r="G18" s="34"/>
      <c r="H18" s="34"/>
      <c r="I18" s="34"/>
      <c r="J18" s="33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9" t="s">
        <v>185</v>
      </c>
      <c r="B19" s="11">
        <v>7.0</v>
      </c>
      <c r="C19" s="9" t="s">
        <v>28</v>
      </c>
      <c r="D19" s="11">
        <v>1.0</v>
      </c>
      <c r="E19" s="30"/>
      <c r="F19" s="30"/>
      <c r="G19" s="30"/>
      <c r="H19" s="30"/>
      <c r="I19" s="30"/>
      <c r="J19" s="22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9" t="s">
        <v>190</v>
      </c>
      <c r="B20" s="11">
        <v>7.0</v>
      </c>
      <c r="C20" s="9" t="s">
        <v>19</v>
      </c>
      <c r="D20" s="11">
        <v>1.0</v>
      </c>
      <c r="E20" s="30"/>
      <c r="F20" s="30"/>
      <c r="G20" s="30"/>
      <c r="H20" s="30"/>
      <c r="I20" s="30"/>
      <c r="J20" s="22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9" t="s">
        <v>195</v>
      </c>
      <c r="B21" s="11">
        <v>7.0</v>
      </c>
      <c r="C21" s="9" t="s">
        <v>36</v>
      </c>
      <c r="D21" s="11">
        <v>1.0</v>
      </c>
      <c r="E21" s="30"/>
      <c r="F21" s="30"/>
      <c r="G21" s="30"/>
      <c r="H21" s="30"/>
      <c r="I21" s="30"/>
      <c r="J21" s="22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1" t="s">
        <v>199</v>
      </c>
      <c r="B22" s="32">
        <v>8.0</v>
      </c>
      <c r="C22" s="31" t="s">
        <v>28</v>
      </c>
      <c r="D22" s="32">
        <v>1.0</v>
      </c>
      <c r="E22" s="34"/>
      <c r="F22" s="34"/>
      <c r="G22" s="34"/>
      <c r="H22" s="34"/>
      <c r="I22" s="34"/>
      <c r="J22" s="31" t="s">
        <v>73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1" t="s">
        <v>205</v>
      </c>
      <c r="B23" s="32">
        <v>8.0</v>
      </c>
      <c r="C23" s="31" t="s">
        <v>19</v>
      </c>
      <c r="D23" s="32">
        <v>1.0</v>
      </c>
      <c r="E23" s="16">
        <v>46232.0</v>
      </c>
      <c r="F23" s="11" t="s">
        <v>23</v>
      </c>
      <c r="G23" s="11">
        <v>97.6</v>
      </c>
      <c r="H23" s="11">
        <v>10.07</v>
      </c>
      <c r="I23" s="46">
        <v>7.64</v>
      </c>
      <c r="J23" s="33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1" t="s">
        <v>209</v>
      </c>
      <c r="B24" s="32">
        <v>8.0</v>
      </c>
      <c r="C24" s="31" t="s">
        <v>36</v>
      </c>
      <c r="D24" s="32">
        <v>1.0</v>
      </c>
      <c r="E24" s="16">
        <v>46232.0</v>
      </c>
      <c r="F24" s="11" t="s">
        <v>23</v>
      </c>
      <c r="G24" s="11">
        <v>97.6</v>
      </c>
      <c r="H24" s="11">
        <v>10.07</v>
      </c>
      <c r="I24" s="46">
        <v>7.57</v>
      </c>
      <c r="J24" s="33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9" t="s">
        <v>215</v>
      </c>
      <c r="B25" s="11">
        <v>9.0</v>
      </c>
      <c r="C25" s="9" t="s">
        <v>28</v>
      </c>
      <c r="D25" s="11">
        <v>1.0</v>
      </c>
      <c r="E25" s="16">
        <v>46232.0</v>
      </c>
      <c r="F25" s="11" t="s">
        <v>23</v>
      </c>
      <c r="G25" s="11">
        <v>97.6</v>
      </c>
      <c r="H25" s="11">
        <v>10.07</v>
      </c>
      <c r="I25" s="11">
        <v>7.65</v>
      </c>
      <c r="J25" s="22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9" t="s">
        <v>219</v>
      </c>
      <c r="B26" s="11">
        <v>9.0</v>
      </c>
      <c r="C26" s="9" t="s">
        <v>19</v>
      </c>
      <c r="D26" s="11">
        <v>1.0</v>
      </c>
      <c r="E26" s="16">
        <v>46232.0</v>
      </c>
      <c r="F26" s="11" t="s">
        <v>23</v>
      </c>
      <c r="G26" s="11">
        <v>97.6</v>
      </c>
      <c r="H26" s="11">
        <v>10.07</v>
      </c>
      <c r="I26" s="11">
        <v>7.56</v>
      </c>
      <c r="J26" s="22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9" t="s">
        <v>224</v>
      </c>
      <c r="B27" s="11">
        <v>9.0</v>
      </c>
      <c r="C27" s="9" t="s">
        <v>36</v>
      </c>
      <c r="D27" s="11">
        <v>1.0</v>
      </c>
      <c r="E27" s="16">
        <v>46232.0</v>
      </c>
      <c r="F27" s="11" t="s">
        <v>23</v>
      </c>
      <c r="G27" s="11">
        <v>97.6</v>
      </c>
      <c r="H27" s="11">
        <v>10.07</v>
      </c>
      <c r="I27" s="11">
        <v>7.61</v>
      </c>
      <c r="J27" s="22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1" t="s">
        <v>232</v>
      </c>
      <c r="B28" s="32">
        <v>10.0</v>
      </c>
      <c r="C28" s="31" t="s">
        <v>28</v>
      </c>
      <c r="D28" s="32">
        <v>1.0</v>
      </c>
      <c r="E28" s="16">
        <v>46232.0</v>
      </c>
      <c r="F28" s="11" t="s">
        <v>23</v>
      </c>
      <c r="G28" s="11">
        <v>97.6</v>
      </c>
      <c r="H28" s="11">
        <v>10.07</v>
      </c>
      <c r="I28" s="32">
        <v>7.53</v>
      </c>
      <c r="J28" s="33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1" t="s">
        <v>239</v>
      </c>
      <c r="B29" s="32">
        <v>10.0</v>
      </c>
      <c r="C29" s="31" t="s">
        <v>19</v>
      </c>
      <c r="D29" s="32">
        <v>1.0</v>
      </c>
      <c r="E29" s="16">
        <v>46232.0</v>
      </c>
      <c r="F29" s="11" t="s">
        <v>23</v>
      </c>
      <c r="G29" s="11">
        <v>97.6</v>
      </c>
      <c r="H29" s="11">
        <v>10.07</v>
      </c>
      <c r="I29" s="32">
        <v>7.4</v>
      </c>
      <c r="J29" s="33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1" t="s">
        <v>246</v>
      </c>
      <c r="B30" s="32">
        <v>10.0</v>
      </c>
      <c r="C30" s="31" t="s">
        <v>36</v>
      </c>
      <c r="D30" s="32">
        <v>1.0</v>
      </c>
      <c r="E30" s="16">
        <v>46232.0</v>
      </c>
      <c r="F30" s="11" t="s">
        <v>23</v>
      </c>
      <c r="G30" s="11">
        <v>97.6</v>
      </c>
      <c r="H30" s="11">
        <v>10.07</v>
      </c>
      <c r="I30" s="32">
        <v>7.51</v>
      </c>
      <c r="J30" s="33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9" t="s">
        <v>251</v>
      </c>
      <c r="B31" s="11">
        <v>11.0</v>
      </c>
      <c r="C31" s="9" t="s">
        <v>28</v>
      </c>
      <c r="D31" s="11">
        <v>1.0</v>
      </c>
      <c r="E31" s="16">
        <v>46232.0</v>
      </c>
      <c r="F31" s="11" t="s">
        <v>23</v>
      </c>
      <c r="G31" s="11">
        <v>97.6</v>
      </c>
      <c r="H31" s="11">
        <v>10.07</v>
      </c>
      <c r="I31" s="11">
        <v>7.83</v>
      </c>
      <c r="J31" s="22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9" t="s">
        <v>258</v>
      </c>
      <c r="B32" s="11">
        <v>11.0</v>
      </c>
      <c r="C32" s="9" t="s">
        <v>19</v>
      </c>
      <c r="D32" s="11">
        <v>1.0</v>
      </c>
      <c r="E32" s="16">
        <v>46232.0</v>
      </c>
      <c r="F32" s="11" t="s">
        <v>23</v>
      </c>
      <c r="G32" s="11">
        <v>97.6</v>
      </c>
      <c r="H32" s="11">
        <v>10.07</v>
      </c>
      <c r="I32" s="11">
        <v>7.9</v>
      </c>
      <c r="J32" s="22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9" t="s">
        <v>264</v>
      </c>
      <c r="B33" s="11">
        <v>11.0</v>
      </c>
      <c r="C33" s="9" t="s">
        <v>36</v>
      </c>
      <c r="D33" s="11">
        <v>1.0</v>
      </c>
      <c r="E33" s="16">
        <v>46232.0</v>
      </c>
      <c r="F33" s="11" t="s">
        <v>23</v>
      </c>
      <c r="G33" s="11">
        <v>97.6</v>
      </c>
      <c r="H33" s="11">
        <v>10.07</v>
      </c>
      <c r="I33" s="11">
        <v>7.79</v>
      </c>
      <c r="J33" s="22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1" t="s">
        <v>270</v>
      </c>
      <c r="B34" s="32">
        <v>12.0</v>
      </c>
      <c r="C34" s="31" t="s">
        <v>28</v>
      </c>
      <c r="D34" s="32">
        <v>1.0</v>
      </c>
      <c r="E34" s="16">
        <v>46232.0</v>
      </c>
      <c r="F34" s="11" t="s">
        <v>23</v>
      </c>
      <c r="G34" s="11">
        <v>97.6</v>
      </c>
      <c r="H34" s="11">
        <v>10.07</v>
      </c>
      <c r="I34" s="32">
        <v>7.84</v>
      </c>
      <c r="J34" s="33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1" t="s">
        <v>276</v>
      </c>
      <c r="B35" s="32">
        <v>12.0</v>
      </c>
      <c r="C35" s="31" t="s">
        <v>19</v>
      </c>
      <c r="D35" s="32">
        <v>1.0</v>
      </c>
      <c r="E35" s="16">
        <v>46232.0</v>
      </c>
      <c r="F35" s="11" t="s">
        <v>23</v>
      </c>
      <c r="G35" s="11">
        <v>97.6</v>
      </c>
      <c r="H35" s="32">
        <v>10.05</v>
      </c>
      <c r="I35" s="32">
        <v>8.16</v>
      </c>
      <c r="J35" s="33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1" t="s">
        <v>282</v>
      </c>
      <c r="B36" s="32">
        <v>12.0</v>
      </c>
      <c r="C36" s="31" t="s">
        <v>36</v>
      </c>
      <c r="D36" s="32">
        <v>1.0</v>
      </c>
      <c r="E36" s="16">
        <v>46232.0</v>
      </c>
      <c r="F36" s="11" t="s">
        <v>23</v>
      </c>
      <c r="G36" s="11">
        <v>97.6</v>
      </c>
      <c r="H36" s="32">
        <v>10.05</v>
      </c>
      <c r="I36" s="32">
        <v>8.1</v>
      </c>
      <c r="J36" s="33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9" t="s">
        <v>287</v>
      </c>
      <c r="B37" s="11">
        <v>13.0</v>
      </c>
      <c r="C37" s="9" t="s">
        <v>28</v>
      </c>
      <c r="D37" s="11">
        <v>1.0</v>
      </c>
      <c r="E37" s="16">
        <v>46232.0</v>
      </c>
      <c r="F37" s="11" t="s">
        <v>23</v>
      </c>
      <c r="G37" s="11">
        <v>97.6</v>
      </c>
      <c r="H37" s="32">
        <v>10.05</v>
      </c>
      <c r="I37" s="11">
        <v>8.04</v>
      </c>
      <c r="J37" s="22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9" t="s">
        <v>293</v>
      </c>
      <c r="B38" s="11">
        <v>13.0</v>
      </c>
      <c r="C38" s="9" t="s">
        <v>19</v>
      </c>
      <c r="D38" s="11">
        <v>1.0</v>
      </c>
      <c r="E38" s="16">
        <v>46232.0</v>
      </c>
      <c r="F38" s="11" t="s">
        <v>23</v>
      </c>
      <c r="G38" s="11">
        <v>97.6</v>
      </c>
      <c r="H38" s="32">
        <v>10.05</v>
      </c>
      <c r="I38" s="11">
        <v>7.86</v>
      </c>
      <c r="J38" s="22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9" t="s">
        <v>298</v>
      </c>
      <c r="B39" s="11">
        <v>13.0</v>
      </c>
      <c r="C39" s="9" t="s">
        <v>36</v>
      </c>
      <c r="D39" s="11">
        <v>1.0</v>
      </c>
      <c r="E39" s="16">
        <v>46232.0</v>
      </c>
      <c r="F39" s="11" t="s">
        <v>23</v>
      </c>
      <c r="G39" s="11">
        <v>97.6</v>
      </c>
      <c r="H39" s="32">
        <v>10.05</v>
      </c>
      <c r="I39" s="11">
        <v>7.93</v>
      </c>
      <c r="J39" s="22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1" t="s">
        <v>304</v>
      </c>
      <c r="B40" s="32">
        <v>14.0</v>
      </c>
      <c r="C40" s="31" t="s">
        <v>28</v>
      </c>
      <c r="D40" s="32">
        <v>1.0</v>
      </c>
      <c r="E40" s="16">
        <v>46232.0</v>
      </c>
      <c r="F40" s="11" t="s">
        <v>23</v>
      </c>
      <c r="G40" s="11">
        <v>97.6</v>
      </c>
      <c r="H40" s="32">
        <v>10.05</v>
      </c>
      <c r="I40" s="32">
        <v>8.0</v>
      </c>
      <c r="J40" s="33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1" t="s">
        <v>310</v>
      </c>
      <c r="B41" s="32">
        <v>14.0</v>
      </c>
      <c r="C41" s="31" t="s">
        <v>19</v>
      </c>
      <c r="D41" s="32">
        <v>1.0</v>
      </c>
      <c r="E41" s="16">
        <v>46232.0</v>
      </c>
      <c r="F41" s="11" t="s">
        <v>23</v>
      </c>
      <c r="G41" s="11">
        <v>97.6</v>
      </c>
      <c r="H41" s="32">
        <v>10.05</v>
      </c>
      <c r="I41" s="32">
        <v>7.9</v>
      </c>
      <c r="J41" s="33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1" t="s">
        <v>315</v>
      </c>
      <c r="B42" s="32">
        <v>14.0</v>
      </c>
      <c r="C42" s="31" t="s">
        <v>36</v>
      </c>
      <c r="D42" s="32">
        <v>1.0</v>
      </c>
      <c r="E42" s="16">
        <v>46232.0</v>
      </c>
      <c r="F42" s="11" t="s">
        <v>23</v>
      </c>
      <c r="G42" s="11">
        <v>97.6</v>
      </c>
      <c r="H42" s="32">
        <v>10.05</v>
      </c>
      <c r="I42" s="32">
        <v>7.96</v>
      </c>
      <c r="J42" s="33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9" t="s">
        <v>320</v>
      </c>
      <c r="B43" s="11">
        <v>15.0</v>
      </c>
      <c r="C43" s="9" t="s">
        <v>28</v>
      </c>
      <c r="D43" s="11">
        <v>1.0</v>
      </c>
      <c r="E43" s="16">
        <v>46232.0</v>
      </c>
      <c r="F43" s="11" t="s">
        <v>23</v>
      </c>
      <c r="G43" s="11">
        <v>97.6</v>
      </c>
      <c r="H43" s="32">
        <v>10.05</v>
      </c>
      <c r="I43" s="11">
        <v>7.88</v>
      </c>
      <c r="J43" s="22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9" t="s">
        <v>325</v>
      </c>
      <c r="B44" s="11">
        <v>15.0</v>
      </c>
      <c r="C44" s="9" t="s">
        <v>19</v>
      </c>
      <c r="D44" s="11">
        <v>1.0</v>
      </c>
      <c r="E44" s="16">
        <v>46232.0</v>
      </c>
      <c r="F44" s="11" t="s">
        <v>23</v>
      </c>
      <c r="G44" s="11">
        <v>97.6</v>
      </c>
      <c r="H44" s="32">
        <v>10.05</v>
      </c>
      <c r="I44" s="11">
        <v>7.77</v>
      </c>
      <c r="J44" s="22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9" t="s">
        <v>330</v>
      </c>
      <c r="B45" s="11">
        <v>15.0</v>
      </c>
      <c r="C45" s="9" t="s">
        <v>36</v>
      </c>
      <c r="D45" s="11">
        <v>1.0</v>
      </c>
      <c r="E45" s="16">
        <v>46232.0</v>
      </c>
      <c r="F45" s="11" t="s">
        <v>23</v>
      </c>
      <c r="G45" s="11">
        <v>97.6</v>
      </c>
      <c r="H45" s="32">
        <v>10.05</v>
      </c>
      <c r="I45" s="11">
        <v>7.85</v>
      </c>
      <c r="J45" s="22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1" t="s">
        <v>336</v>
      </c>
      <c r="B46" s="32">
        <v>16.0</v>
      </c>
      <c r="C46" s="31" t="s">
        <v>28</v>
      </c>
      <c r="D46" s="32">
        <v>1.0</v>
      </c>
      <c r="E46" s="16">
        <v>46232.0</v>
      </c>
      <c r="F46" s="11" t="s">
        <v>23</v>
      </c>
      <c r="G46" s="11">
        <v>97.6</v>
      </c>
      <c r="H46" s="32">
        <v>10.05</v>
      </c>
      <c r="I46" s="32">
        <v>7.7</v>
      </c>
      <c r="J46" s="33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1" t="s">
        <v>341</v>
      </c>
      <c r="B47" s="32">
        <v>16.0</v>
      </c>
      <c r="C47" s="31" t="s">
        <v>19</v>
      </c>
      <c r="D47" s="32">
        <v>1.0</v>
      </c>
      <c r="E47" s="16">
        <v>46232.0</v>
      </c>
      <c r="F47" s="11" t="s">
        <v>23</v>
      </c>
      <c r="G47" s="11">
        <v>97.6</v>
      </c>
      <c r="H47" s="32">
        <v>10.05</v>
      </c>
      <c r="I47" s="32">
        <v>7.64</v>
      </c>
      <c r="J47" s="33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1" t="s">
        <v>346</v>
      </c>
      <c r="B48" s="32">
        <v>16.0</v>
      </c>
      <c r="C48" s="31" t="s">
        <v>36</v>
      </c>
      <c r="D48" s="32">
        <v>1.0</v>
      </c>
      <c r="E48" s="16">
        <v>46232.0</v>
      </c>
      <c r="F48" s="11" t="s">
        <v>23</v>
      </c>
      <c r="G48" s="11">
        <v>97.6</v>
      </c>
      <c r="H48" s="32">
        <v>10.05</v>
      </c>
      <c r="I48" s="32">
        <v>7.87</v>
      </c>
      <c r="J48" s="33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9" t="s">
        <v>353</v>
      </c>
      <c r="B49" s="11">
        <v>17.0</v>
      </c>
      <c r="C49" s="9" t="s">
        <v>28</v>
      </c>
      <c r="D49" s="11">
        <v>1.0</v>
      </c>
      <c r="E49" s="16">
        <v>46232.0</v>
      </c>
      <c r="F49" s="11" t="s">
        <v>23</v>
      </c>
      <c r="G49" s="11">
        <v>97.6</v>
      </c>
      <c r="H49" s="32">
        <v>10.05</v>
      </c>
      <c r="I49" s="11">
        <v>7.9</v>
      </c>
      <c r="J49" s="22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9" t="s">
        <v>359</v>
      </c>
      <c r="B50" s="11">
        <v>17.0</v>
      </c>
      <c r="C50" s="9" t="s">
        <v>19</v>
      </c>
      <c r="D50" s="11">
        <v>1.0</v>
      </c>
      <c r="E50" s="16">
        <v>46232.0</v>
      </c>
      <c r="F50" s="11" t="s">
        <v>23</v>
      </c>
      <c r="G50" s="11">
        <v>97.6</v>
      </c>
      <c r="H50" s="32">
        <v>10.05</v>
      </c>
      <c r="I50" s="11">
        <v>7.71</v>
      </c>
      <c r="J50" s="22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9" t="s">
        <v>364</v>
      </c>
      <c r="B51" s="11">
        <v>17.0</v>
      </c>
      <c r="C51" s="9" t="s">
        <v>36</v>
      </c>
      <c r="D51" s="11">
        <v>1.0</v>
      </c>
      <c r="E51" s="16">
        <v>46232.0</v>
      </c>
      <c r="F51" s="11" t="s">
        <v>23</v>
      </c>
      <c r="G51" s="11">
        <v>97.6</v>
      </c>
      <c r="H51" s="32">
        <v>10.05</v>
      </c>
      <c r="I51" s="11">
        <v>7.99</v>
      </c>
      <c r="J51" s="22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1" t="s">
        <v>369</v>
      </c>
      <c r="B52" s="32">
        <v>18.0</v>
      </c>
      <c r="C52" s="31" t="s">
        <v>28</v>
      </c>
      <c r="D52" s="32">
        <v>1.0</v>
      </c>
      <c r="E52" s="16">
        <v>46232.0</v>
      </c>
      <c r="F52" s="11" t="s">
        <v>23</v>
      </c>
      <c r="G52" s="11">
        <v>97.6</v>
      </c>
      <c r="H52" s="32">
        <v>10.05</v>
      </c>
      <c r="I52" s="32">
        <v>8.06</v>
      </c>
      <c r="J52" s="33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1" t="s">
        <v>376</v>
      </c>
      <c r="B53" s="32">
        <v>18.0</v>
      </c>
      <c r="C53" s="31" t="s">
        <v>19</v>
      </c>
      <c r="D53" s="32">
        <v>1.0</v>
      </c>
      <c r="E53" s="16">
        <v>46232.0</v>
      </c>
      <c r="F53" s="11" t="s">
        <v>23</v>
      </c>
      <c r="G53" s="11">
        <v>97.6</v>
      </c>
      <c r="H53" s="32">
        <v>10.05</v>
      </c>
      <c r="I53" s="32">
        <v>7.9</v>
      </c>
      <c r="J53" s="33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1" t="s">
        <v>381</v>
      </c>
      <c r="B54" s="32">
        <v>18.0</v>
      </c>
      <c r="C54" s="31" t="s">
        <v>36</v>
      </c>
      <c r="D54" s="32">
        <v>1.0</v>
      </c>
      <c r="E54" s="16">
        <v>46232.0</v>
      </c>
      <c r="F54" s="11" t="s">
        <v>23</v>
      </c>
      <c r="G54" s="11">
        <v>97.6</v>
      </c>
      <c r="H54" s="32">
        <v>10.05</v>
      </c>
      <c r="I54" s="32">
        <v>7.83</v>
      </c>
      <c r="J54" s="33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9" t="s">
        <v>386</v>
      </c>
      <c r="B55" s="11">
        <v>19.0</v>
      </c>
      <c r="C55" s="9" t="s">
        <v>28</v>
      </c>
      <c r="D55" s="11">
        <v>1.0</v>
      </c>
      <c r="E55" s="16">
        <v>46232.0</v>
      </c>
      <c r="F55" s="11" t="s">
        <v>23</v>
      </c>
      <c r="G55" s="11">
        <v>97.6</v>
      </c>
      <c r="H55" s="32">
        <v>10.05</v>
      </c>
      <c r="I55" s="11">
        <v>7.86</v>
      </c>
      <c r="J55" s="22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9" t="s">
        <v>391</v>
      </c>
      <c r="B56" s="11">
        <v>19.0</v>
      </c>
      <c r="C56" s="9" t="s">
        <v>19</v>
      </c>
      <c r="D56" s="11">
        <v>1.0</v>
      </c>
      <c r="E56" s="16">
        <v>46232.0</v>
      </c>
      <c r="F56" s="11" t="s">
        <v>23</v>
      </c>
      <c r="G56" s="11">
        <v>97.6</v>
      </c>
      <c r="H56" s="32">
        <v>10.05</v>
      </c>
      <c r="I56" s="11">
        <v>7.7</v>
      </c>
      <c r="J56" s="22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9" t="s">
        <v>396</v>
      </c>
      <c r="B57" s="11">
        <v>19.0</v>
      </c>
      <c r="C57" s="9" t="s">
        <v>36</v>
      </c>
      <c r="D57" s="11">
        <v>1.0</v>
      </c>
      <c r="E57" s="16">
        <v>46232.0</v>
      </c>
      <c r="F57" s="11" t="s">
        <v>23</v>
      </c>
      <c r="G57" s="11">
        <v>97.6</v>
      </c>
      <c r="H57" s="32">
        <v>10.05</v>
      </c>
      <c r="I57" s="11">
        <v>7.64</v>
      </c>
      <c r="J57" s="22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1" t="s">
        <v>402</v>
      </c>
      <c r="B58" s="32">
        <v>20.0</v>
      </c>
      <c r="C58" s="31" t="s">
        <v>28</v>
      </c>
      <c r="D58" s="32">
        <v>1.0</v>
      </c>
      <c r="E58" s="37">
        <v>46233.0</v>
      </c>
      <c r="F58" s="32" t="s">
        <v>23</v>
      </c>
      <c r="G58" s="32">
        <v>97.0</v>
      </c>
      <c r="H58" s="32">
        <v>10.05</v>
      </c>
      <c r="I58" s="32">
        <v>7.97</v>
      </c>
      <c r="J58" s="33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1" t="s">
        <v>407</v>
      </c>
      <c r="B59" s="32">
        <v>20.0</v>
      </c>
      <c r="C59" s="31" t="s">
        <v>19</v>
      </c>
      <c r="D59" s="32">
        <v>1.0</v>
      </c>
      <c r="E59" s="37">
        <v>46233.0</v>
      </c>
      <c r="F59" s="32" t="s">
        <v>23</v>
      </c>
      <c r="G59" s="32">
        <v>97.0</v>
      </c>
      <c r="H59" s="32">
        <v>10.05</v>
      </c>
      <c r="I59" s="32">
        <v>7.75</v>
      </c>
      <c r="J59" s="33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1" t="s">
        <v>413</v>
      </c>
      <c r="B60" s="32">
        <v>20.0</v>
      </c>
      <c r="C60" s="31" t="s">
        <v>36</v>
      </c>
      <c r="D60" s="32">
        <v>1.0</v>
      </c>
      <c r="E60" s="37">
        <v>46233.0</v>
      </c>
      <c r="F60" s="32" t="s">
        <v>23</v>
      </c>
      <c r="G60" s="32">
        <v>97.0</v>
      </c>
      <c r="H60" s="32">
        <v>10.05</v>
      </c>
      <c r="I60" s="32">
        <v>7.71</v>
      </c>
      <c r="J60" s="33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9" t="s">
        <v>417</v>
      </c>
      <c r="B61" s="11">
        <v>21.0</v>
      </c>
      <c r="C61" s="9" t="s">
        <v>28</v>
      </c>
      <c r="D61" s="11">
        <v>1.0</v>
      </c>
      <c r="E61" s="37">
        <v>46233.0</v>
      </c>
      <c r="F61" s="32" t="s">
        <v>23</v>
      </c>
      <c r="G61" s="32">
        <v>97.0</v>
      </c>
      <c r="H61" s="32">
        <v>10.05</v>
      </c>
      <c r="I61" s="11">
        <v>7.81</v>
      </c>
      <c r="J61" s="22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9" t="s">
        <v>422</v>
      </c>
      <c r="B62" s="11">
        <v>21.0</v>
      </c>
      <c r="C62" s="9" t="s">
        <v>19</v>
      </c>
      <c r="D62" s="11">
        <v>1.0</v>
      </c>
      <c r="E62" s="37">
        <v>46233.0</v>
      </c>
      <c r="F62" s="32" t="s">
        <v>23</v>
      </c>
      <c r="G62" s="32">
        <v>97.0</v>
      </c>
      <c r="H62" s="32">
        <v>10.05</v>
      </c>
      <c r="I62" s="11">
        <v>7.93</v>
      </c>
      <c r="J62" s="22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9" t="s">
        <v>428</v>
      </c>
      <c r="B63" s="11">
        <v>21.0</v>
      </c>
      <c r="C63" s="9" t="s">
        <v>36</v>
      </c>
      <c r="D63" s="11">
        <v>1.0</v>
      </c>
      <c r="E63" s="37">
        <v>46233.0</v>
      </c>
      <c r="F63" s="32" t="s">
        <v>23</v>
      </c>
      <c r="G63" s="32">
        <v>97.0</v>
      </c>
      <c r="H63" s="32">
        <v>10.05</v>
      </c>
      <c r="I63" s="11">
        <v>7.84</v>
      </c>
      <c r="J63" s="22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1" t="s">
        <v>432</v>
      </c>
      <c r="B64" s="32">
        <v>22.0</v>
      </c>
      <c r="C64" s="31" t="s">
        <v>28</v>
      </c>
      <c r="D64" s="32">
        <v>1.0</v>
      </c>
      <c r="E64" s="37">
        <v>46233.0</v>
      </c>
      <c r="F64" s="32" t="s">
        <v>23</v>
      </c>
      <c r="G64" s="32">
        <v>97.0</v>
      </c>
      <c r="H64" s="32">
        <v>10.05</v>
      </c>
      <c r="I64" s="32">
        <v>7.76</v>
      </c>
      <c r="J64" s="33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1" t="s">
        <v>438</v>
      </c>
      <c r="B65" s="32">
        <v>22.0</v>
      </c>
      <c r="C65" s="31" t="s">
        <v>19</v>
      </c>
      <c r="D65" s="32">
        <v>1.0</v>
      </c>
      <c r="E65" s="37">
        <v>46233.0</v>
      </c>
      <c r="F65" s="32" t="s">
        <v>23</v>
      </c>
      <c r="G65" s="32">
        <v>97.0</v>
      </c>
      <c r="H65" s="32">
        <v>10.05</v>
      </c>
      <c r="I65" s="32">
        <v>7.66</v>
      </c>
      <c r="J65" s="33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1" t="s">
        <v>442</v>
      </c>
      <c r="B66" s="32">
        <v>22.0</v>
      </c>
      <c r="C66" s="31" t="s">
        <v>36</v>
      </c>
      <c r="D66" s="32">
        <v>1.0</v>
      </c>
      <c r="E66" s="37">
        <v>46233.0</v>
      </c>
      <c r="F66" s="32" t="s">
        <v>23</v>
      </c>
      <c r="G66" s="32">
        <v>97.0</v>
      </c>
      <c r="H66" s="32">
        <v>10.05</v>
      </c>
      <c r="I66" s="32">
        <v>7.74</v>
      </c>
      <c r="J66" s="33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9" t="s">
        <v>448</v>
      </c>
      <c r="B67" s="11">
        <v>23.0</v>
      </c>
      <c r="C67" s="9" t="s">
        <v>28</v>
      </c>
      <c r="D67" s="11">
        <v>1.0</v>
      </c>
      <c r="E67" s="37">
        <v>46233.0</v>
      </c>
      <c r="F67" s="32" t="s">
        <v>23</v>
      </c>
      <c r="G67" s="32">
        <v>97.0</v>
      </c>
      <c r="H67" s="32">
        <v>10.05</v>
      </c>
      <c r="I67" s="11">
        <v>7.81</v>
      </c>
      <c r="J67" s="22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9" t="s">
        <v>453</v>
      </c>
      <c r="B68" s="11">
        <v>23.0</v>
      </c>
      <c r="C68" s="9" t="s">
        <v>19</v>
      </c>
      <c r="D68" s="11">
        <v>1.0</v>
      </c>
      <c r="E68" s="37">
        <v>46233.0</v>
      </c>
      <c r="F68" s="32" t="s">
        <v>23</v>
      </c>
      <c r="G68" s="32">
        <v>97.0</v>
      </c>
      <c r="H68" s="32">
        <v>10.05</v>
      </c>
      <c r="I68" s="11">
        <v>7.95</v>
      </c>
      <c r="J68" s="22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9" t="s">
        <v>459</v>
      </c>
      <c r="B69" s="11">
        <v>23.0</v>
      </c>
      <c r="C69" s="9" t="s">
        <v>36</v>
      </c>
      <c r="D69" s="11">
        <v>1.0</v>
      </c>
      <c r="E69" s="37">
        <v>46233.0</v>
      </c>
      <c r="F69" s="32" t="s">
        <v>23</v>
      </c>
      <c r="G69" s="32">
        <v>97.0</v>
      </c>
      <c r="H69" s="32">
        <v>10.05</v>
      </c>
      <c r="I69" s="11">
        <v>7.91</v>
      </c>
      <c r="J69" s="22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1" t="s">
        <v>464</v>
      </c>
      <c r="B70" s="32">
        <v>24.0</v>
      </c>
      <c r="C70" s="31" t="s">
        <v>28</v>
      </c>
      <c r="D70" s="32">
        <v>1.0</v>
      </c>
      <c r="E70" s="37">
        <v>46233.0</v>
      </c>
      <c r="F70" s="32" t="s">
        <v>23</v>
      </c>
      <c r="G70" s="32">
        <v>97.0</v>
      </c>
      <c r="H70" s="32">
        <v>10.05</v>
      </c>
      <c r="I70" s="32">
        <v>7.76</v>
      </c>
      <c r="J70" s="33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1" t="s">
        <v>470</v>
      </c>
      <c r="B71" s="32">
        <v>24.0</v>
      </c>
      <c r="C71" s="31" t="s">
        <v>19</v>
      </c>
      <c r="D71" s="32">
        <v>1.0</v>
      </c>
      <c r="E71" s="37">
        <v>46233.0</v>
      </c>
      <c r="F71" s="32" t="s">
        <v>23</v>
      </c>
      <c r="G71" s="32">
        <v>97.0</v>
      </c>
      <c r="H71" s="32">
        <v>10.05</v>
      </c>
      <c r="I71" s="32">
        <v>7.63</v>
      </c>
      <c r="J71" s="33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1" t="s">
        <v>477</v>
      </c>
      <c r="B72" s="32">
        <v>24.0</v>
      </c>
      <c r="C72" s="31" t="s">
        <v>36</v>
      </c>
      <c r="D72" s="32">
        <v>1.0</v>
      </c>
      <c r="E72" s="37">
        <v>46233.0</v>
      </c>
      <c r="F72" s="32" t="s">
        <v>23</v>
      </c>
      <c r="G72" s="32">
        <v>97.0</v>
      </c>
      <c r="H72" s="32">
        <v>10.05</v>
      </c>
      <c r="I72" s="32">
        <v>7.71</v>
      </c>
      <c r="J72" s="33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9" t="s">
        <v>483</v>
      </c>
      <c r="B73" s="11">
        <v>25.0</v>
      </c>
      <c r="C73" s="9" t="s">
        <v>28</v>
      </c>
      <c r="D73" s="11">
        <v>1.0</v>
      </c>
      <c r="E73" s="30"/>
      <c r="F73" s="30"/>
      <c r="G73" s="30"/>
      <c r="H73" s="30"/>
      <c r="I73" s="30"/>
      <c r="J73" s="9" t="s">
        <v>73</v>
      </c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9" t="s">
        <v>489</v>
      </c>
      <c r="B74" s="11">
        <v>25.0</v>
      </c>
      <c r="C74" s="9" t="s">
        <v>19</v>
      </c>
      <c r="D74" s="11">
        <v>1.0</v>
      </c>
      <c r="E74" s="37">
        <v>46233.0</v>
      </c>
      <c r="F74" s="32" t="s">
        <v>23</v>
      </c>
      <c r="G74" s="32">
        <v>97.0</v>
      </c>
      <c r="H74" s="32">
        <v>10.05</v>
      </c>
      <c r="I74" s="11">
        <v>7.69</v>
      </c>
      <c r="J74" s="22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9" t="s">
        <v>494</v>
      </c>
      <c r="B75" s="11">
        <v>25.0</v>
      </c>
      <c r="C75" s="9" t="s">
        <v>36</v>
      </c>
      <c r="D75" s="11">
        <v>1.0</v>
      </c>
      <c r="E75" s="37">
        <v>46233.0</v>
      </c>
      <c r="F75" s="32" t="s">
        <v>23</v>
      </c>
      <c r="G75" s="32">
        <v>97.0</v>
      </c>
      <c r="H75" s="32">
        <v>10.05</v>
      </c>
      <c r="I75" s="11">
        <v>7.78</v>
      </c>
      <c r="J75" s="22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1" t="s">
        <v>501</v>
      </c>
      <c r="B76" s="32">
        <v>26.0</v>
      </c>
      <c r="C76" s="31" t="s">
        <v>28</v>
      </c>
      <c r="D76" s="32">
        <v>1.0</v>
      </c>
      <c r="E76" s="37">
        <v>46233.0</v>
      </c>
      <c r="F76" s="32" t="s">
        <v>23</v>
      </c>
      <c r="G76" s="32">
        <v>97.0</v>
      </c>
      <c r="H76" s="32">
        <v>10.05</v>
      </c>
      <c r="I76" s="32">
        <v>7.61</v>
      </c>
      <c r="J76" s="33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1" t="s">
        <v>507</v>
      </c>
      <c r="B77" s="32">
        <v>26.0</v>
      </c>
      <c r="C77" s="31" t="s">
        <v>19</v>
      </c>
      <c r="D77" s="32">
        <v>1.0</v>
      </c>
      <c r="E77" s="37">
        <v>46233.0</v>
      </c>
      <c r="F77" s="32" t="s">
        <v>23</v>
      </c>
      <c r="G77" s="32">
        <v>97.0</v>
      </c>
      <c r="H77" s="32">
        <v>10.05</v>
      </c>
      <c r="I77" s="32">
        <v>7.7</v>
      </c>
      <c r="J77" s="33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1" t="s">
        <v>513</v>
      </c>
      <c r="B78" s="32">
        <v>26.0</v>
      </c>
      <c r="C78" s="31" t="s">
        <v>36</v>
      </c>
      <c r="D78" s="32">
        <v>1.0</v>
      </c>
      <c r="E78" s="37">
        <v>46233.0</v>
      </c>
      <c r="F78" s="32" t="s">
        <v>23</v>
      </c>
      <c r="G78" s="32">
        <v>97.0</v>
      </c>
      <c r="H78" s="32">
        <v>10.05</v>
      </c>
      <c r="I78" s="32">
        <v>7.75</v>
      </c>
      <c r="J78" s="33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9" t="s">
        <v>519</v>
      </c>
      <c r="B79" s="11">
        <v>27.0</v>
      </c>
      <c r="C79" s="9" t="s">
        <v>28</v>
      </c>
      <c r="D79" s="11">
        <v>1.0</v>
      </c>
      <c r="E79" s="30"/>
      <c r="F79" s="30"/>
      <c r="G79" s="30"/>
      <c r="H79" s="30"/>
      <c r="I79" s="30"/>
      <c r="J79" s="9" t="s">
        <v>73</v>
      </c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9" t="s">
        <v>524</v>
      </c>
      <c r="B80" s="11">
        <v>27.0</v>
      </c>
      <c r="C80" s="9" t="s">
        <v>19</v>
      </c>
      <c r="D80" s="11">
        <v>1.0</v>
      </c>
      <c r="E80" s="37">
        <v>46233.0</v>
      </c>
      <c r="F80" s="32" t="s">
        <v>23</v>
      </c>
      <c r="G80" s="32">
        <v>97.0</v>
      </c>
      <c r="H80" s="32">
        <v>10.05</v>
      </c>
      <c r="I80" s="11">
        <v>7.77</v>
      </c>
      <c r="J80" s="22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9" t="s">
        <v>531</v>
      </c>
      <c r="B81" s="11">
        <v>27.0</v>
      </c>
      <c r="C81" s="9" t="s">
        <v>36</v>
      </c>
      <c r="D81" s="11">
        <v>1.0</v>
      </c>
      <c r="E81" s="37">
        <v>46233.0</v>
      </c>
      <c r="F81" s="32" t="s">
        <v>23</v>
      </c>
      <c r="G81" s="32">
        <v>97.0</v>
      </c>
      <c r="H81" s="32">
        <v>10.05</v>
      </c>
      <c r="I81" s="11">
        <v>7.82</v>
      </c>
      <c r="J81" s="22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1" t="s">
        <v>536</v>
      </c>
      <c r="B82" s="32">
        <v>28.0</v>
      </c>
      <c r="C82" s="31" t="s">
        <v>28</v>
      </c>
      <c r="D82" s="32">
        <v>1.0</v>
      </c>
      <c r="E82" s="34"/>
      <c r="F82" s="34"/>
      <c r="G82" s="34"/>
      <c r="H82" s="34"/>
      <c r="I82" s="34"/>
      <c r="J82" s="31" t="s">
        <v>73</v>
      </c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1" t="s">
        <v>542</v>
      </c>
      <c r="B83" s="32">
        <v>28.0</v>
      </c>
      <c r="C83" s="31" t="s">
        <v>19</v>
      </c>
      <c r="D83" s="32">
        <v>2.0</v>
      </c>
      <c r="E83" s="37">
        <v>46233.0</v>
      </c>
      <c r="F83" s="32" t="s">
        <v>23</v>
      </c>
      <c r="G83" s="32">
        <v>97.0</v>
      </c>
      <c r="H83" s="32">
        <v>10.05</v>
      </c>
      <c r="I83" s="32">
        <v>7.98</v>
      </c>
      <c r="J83" s="33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1" t="s">
        <v>550</v>
      </c>
      <c r="B84" s="32">
        <v>28.0</v>
      </c>
      <c r="C84" s="31" t="s">
        <v>36</v>
      </c>
      <c r="D84" s="32">
        <v>1.0</v>
      </c>
      <c r="E84" s="37">
        <v>46233.0</v>
      </c>
      <c r="F84" s="32" t="s">
        <v>23</v>
      </c>
      <c r="G84" s="32">
        <v>97.0</v>
      </c>
      <c r="H84" s="32">
        <v>10.03</v>
      </c>
      <c r="I84" s="32">
        <v>7.88</v>
      </c>
      <c r="J84" s="3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9" t="s">
        <v>556</v>
      </c>
      <c r="B85" s="11">
        <v>29.0</v>
      </c>
      <c r="C85" s="9" t="s">
        <v>28</v>
      </c>
      <c r="D85" s="11">
        <v>1.0</v>
      </c>
      <c r="E85" s="30"/>
      <c r="F85" s="30"/>
      <c r="G85" s="30"/>
      <c r="H85" s="30"/>
      <c r="I85" s="30"/>
      <c r="J85" s="9" t="s">
        <v>73</v>
      </c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9" t="s">
        <v>562</v>
      </c>
      <c r="B86" s="11">
        <v>29.0</v>
      </c>
      <c r="C86" s="9" t="s">
        <v>19</v>
      </c>
      <c r="D86" s="11">
        <v>1.0</v>
      </c>
      <c r="E86" s="30"/>
      <c r="F86" s="30"/>
      <c r="G86" s="30"/>
      <c r="H86" s="30"/>
      <c r="I86" s="30"/>
      <c r="J86" s="9" t="s">
        <v>73</v>
      </c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9" t="s">
        <v>569</v>
      </c>
      <c r="B87" s="11">
        <v>29.0</v>
      </c>
      <c r="C87" s="9" t="s">
        <v>36</v>
      </c>
      <c r="D87" s="11">
        <v>1.0</v>
      </c>
      <c r="E87" s="37">
        <v>46233.0</v>
      </c>
      <c r="F87" s="32" t="s">
        <v>23</v>
      </c>
      <c r="G87" s="32">
        <v>97.0</v>
      </c>
      <c r="H87" s="32">
        <v>10.03</v>
      </c>
      <c r="I87" s="11">
        <v>8.0</v>
      </c>
      <c r="J87" s="22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1" t="s">
        <v>576</v>
      </c>
      <c r="B88" s="32">
        <v>30.0</v>
      </c>
      <c r="C88" s="31" t="s">
        <v>28</v>
      </c>
      <c r="D88" s="32">
        <v>1.0</v>
      </c>
      <c r="E88" s="37">
        <v>46233.0</v>
      </c>
      <c r="F88" s="32" t="s">
        <v>23</v>
      </c>
      <c r="G88" s="32">
        <v>97.0</v>
      </c>
      <c r="H88" s="32">
        <v>10.03</v>
      </c>
      <c r="I88" s="32">
        <v>7.86</v>
      </c>
      <c r="J88" s="33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1" t="s">
        <v>583</v>
      </c>
      <c r="B89" s="32">
        <v>30.0</v>
      </c>
      <c r="C89" s="31" t="s">
        <v>19</v>
      </c>
      <c r="D89" s="32">
        <v>1.0</v>
      </c>
      <c r="E89" s="37">
        <v>46233.0</v>
      </c>
      <c r="F89" s="32" t="s">
        <v>23</v>
      </c>
      <c r="G89" s="32">
        <v>97.0</v>
      </c>
      <c r="H89" s="32">
        <v>10.03</v>
      </c>
      <c r="I89" s="32">
        <v>7.87</v>
      </c>
      <c r="J89" s="33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1" t="s">
        <v>589</v>
      </c>
      <c r="B90" s="32">
        <v>30.0</v>
      </c>
      <c r="C90" s="31" t="s">
        <v>36</v>
      </c>
      <c r="D90" s="32">
        <v>1.0</v>
      </c>
      <c r="E90" s="37">
        <v>46233.0</v>
      </c>
      <c r="F90" s="32" t="s">
        <v>23</v>
      </c>
      <c r="G90" s="32">
        <v>97.0</v>
      </c>
      <c r="H90" s="32">
        <v>10.03</v>
      </c>
      <c r="I90" s="32">
        <v>7.9</v>
      </c>
      <c r="J90" s="33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9" t="s">
        <v>595</v>
      </c>
      <c r="B91" s="11">
        <v>31.0</v>
      </c>
      <c r="C91" s="9" t="s">
        <v>28</v>
      </c>
      <c r="D91" s="11">
        <v>1.0</v>
      </c>
      <c r="E91" s="37">
        <v>46233.0</v>
      </c>
      <c r="F91" s="32" t="s">
        <v>23</v>
      </c>
      <c r="G91" s="32">
        <v>97.0</v>
      </c>
      <c r="H91" s="32">
        <v>10.03</v>
      </c>
      <c r="I91" s="11">
        <v>7.81</v>
      </c>
      <c r="J91" s="22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9" t="s">
        <v>602</v>
      </c>
      <c r="B92" s="11">
        <v>31.0</v>
      </c>
      <c r="C92" s="9" t="s">
        <v>19</v>
      </c>
      <c r="D92" s="11">
        <v>1.0</v>
      </c>
      <c r="E92" s="37">
        <v>46233.0</v>
      </c>
      <c r="F92" s="32" t="s">
        <v>23</v>
      </c>
      <c r="G92" s="32">
        <v>97.0</v>
      </c>
      <c r="H92" s="32">
        <v>10.03</v>
      </c>
      <c r="I92" s="11">
        <v>7.9</v>
      </c>
      <c r="J92" s="22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9" t="s">
        <v>609</v>
      </c>
      <c r="B93" s="11">
        <v>31.0</v>
      </c>
      <c r="C93" s="9" t="s">
        <v>36</v>
      </c>
      <c r="D93" s="11">
        <v>1.0</v>
      </c>
      <c r="E93" s="37">
        <v>46233.0</v>
      </c>
      <c r="F93" s="32" t="s">
        <v>23</v>
      </c>
      <c r="G93" s="32">
        <v>97.0</v>
      </c>
      <c r="H93" s="32">
        <v>10.03</v>
      </c>
      <c r="I93" s="11">
        <v>7.89</v>
      </c>
      <c r="J93" s="22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1" t="s">
        <v>616</v>
      </c>
      <c r="B94" s="32">
        <v>32.0</v>
      </c>
      <c r="C94" s="31" t="s">
        <v>28</v>
      </c>
      <c r="D94" s="32">
        <v>1.0</v>
      </c>
      <c r="E94" s="37">
        <v>46233.0</v>
      </c>
      <c r="F94" s="32" t="s">
        <v>23</v>
      </c>
      <c r="G94" s="32">
        <v>97.0</v>
      </c>
      <c r="H94" s="32">
        <v>10.03</v>
      </c>
      <c r="I94" s="32">
        <v>7.85</v>
      </c>
      <c r="J94" s="33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1" t="s">
        <v>621</v>
      </c>
      <c r="B95" s="32">
        <v>32.0</v>
      </c>
      <c r="C95" s="31" t="s">
        <v>19</v>
      </c>
      <c r="D95" s="32">
        <v>1.0</v>
      </c>
      <c r="E95" s="37">
        <v>46233.0</v>
      </c>
      <c r="F95" s="32" t="s">
        <v>23</v>
      </c>
      <c r="G95" s="32">
        <v>97.0</v>
      </c>
      <c r="H95" s="32">
        <v>10.03</v>
      </c>
      <c r="I95" s="32">
        <v>8.01</v>
      </c>
      <c r="J95" s="33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1" t="s">
        <v>627</v>
      </c>
      <c r="B96" s="32">
        <v>32.0</v>
      </c>
      <c r="C96" s="31" t="s">
        <v>36</v>
      </c>
      <c r="D96" s="32">
        <v>1.0</v>
      </c>
      <c r="E96" s="37">
        <v>46233.0</v>
      </c>
      <c r="F96" s="32" t="s">
        <v>23</v>
      </c>
      <c r="G96" s="32">
        <v>97.0</v>
      </c>
      <c r="H96" s="32">
        <v>10.03</v>
      </c>
      <c r="I96" s="32">
        <v>7.94</v>
      </c>
      <c r="J96" s="3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9" t="s">
        <v>634</v>
      </c>
      <c r="B97" s="11">
        <v>33.0</v>
      </c>
      <c r="C97" s="9" t="s">
        <v>28</v>
      </c>
      <c r="D97" s="11">
        <v>1.0</v>
      </c>
      <c r="E97" s="37">
        <v>46233.0</v>
      </c>
      <c r="F97" s="32" t="s">
        <v>23</v>
      </c>
      <c r="G97" s="32">
        <v>97.0</v>
      </c>
      <c r="H97" s="32">
        <v>10.03</v>
      </c>
      <c r="I97" s="11">
        <v>8.0</v>
      </c>
      <c r="J97" s="22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9" t="s">
        <v>641</v>
      </c>
      <c r="B98" s="11">
        <v>33.0</v>
      </c>
      <c r="C98" s="9" t="s">
        <v>19</v>
      </c>
      <c r="D98" s="11">
        <v>1.0</v>
      </c>
      <c r="E98" s="37">
        <v>46233.0</v>
      </c>
      <c r="F98" s="32" t="s">
        <v>23</v>
      </c>
      <c r="G98" s="32">
        <v>97.0</v>
      </c>
      <c r="H98" s="32">
        <v>10.03</v>
      </c>
      <c r="I98" s="11">
        <v>7.93</v>
      </c>
      <c r="J98" s="22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9" t="s">
        <v>646</v>
      </c>
      <c r="B99" s="11">
        <v>33.0</v>
      </c>
      <c r="C99" s="9" t="s">
        <v>36</v>
      </c>
      <c r="D99" s="11">
        <v>1.0</v>
      </c>
      <c r="E99" s="37">
        <v>46233.0</v>
      </c>
      <c r="F99" s="32" t="s">
        <v>23</v>
      </c>
      <c r="G99" s="32">
        <v>97.0</v>
      </c>
      <c r="H99" s="32">
        <v>10.03</v>
      </c>
      <c r="I99" s="11">
        <v>7.88</v>
      </c>
      <c r="J99" s="22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1" t="s">
        <v>653</v>
      </c>
      <c r="B100" s="32">
        <v>34.0</v>
      </c>
      <c r="C100" s="31" t="s">
        <v>28</v>
      </c>
      <c r="D100" s="32">
        <v>1.0</v>
      </c>
      <c r="E100" s="37">
        <v>46233.0</v>
      </c>
      <c r="F100" s="32" t="s">
        <v>23</v>
      </c>
      <c r="G100" s="32">
        <v>97.0</v>
      </c>
      <c r="H100" s="32">
        <v>10.03</v>
      </c>
      <c r="I100" s="32">
        <v>7.87</v>
      </c>
      <c r="J100" s="3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1" t="s">
        <v>660</v>
      </c>
      <c r="B101" s="32">
        <v>34.0</v>
      </c>
      <c r="C101" s="31" t="s">
        <v>36</v>
      </c>
      <c r="D101" s="32">
        <v>1.0</v>
      </c>
      <c r="E101" s="37">
        <v>46233.0</v>
      </c>
      <c r="F101" s="32" t="s">
        <v>23</v>
      </c>
      <c r="G101" s="32">
        <v>97.0</v>
      </c>
      <c r="H101" s="32">
        <v>10.03</v>
      </c>
      <c r="I101" s="32">
        <v>7.86</v>
      </c>
      <c r="J101" s="33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9" t="s">
        <v>667</v>
      </c>
      <c r="B102" s="11">
        <v>35.0</v>
      </c>
      <c r="C102" s="9" t="s">
        <v>28</v>
      </c>
      <c r="D102" s="11">
        <v>1.0</v>
      </c>
      <c r="E102" s="37">
        <v>46233.0</v>
      </c>
      <c r="F102" s="32" t="s">
        <v>23</v>
      </c>
      <c r="G102" s="32">
        <v>97.0</v>
      </c>
      <c r="H102" s="32">
        <v>10.03</v>
      </c>
      <c r="I102" s="11">
        <v>7.98</v>
      </c>
      <c r="J102" s="22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9" t="s">
        <v>676</v>
      </c>
      <c r="B103" s="11">
        <v>35.0</v>
      </c>
      <c r="C103" s="9" t="s">
        <v>19</v>
      </c>
      <c r="D103" s="11">
        <v>1.0</v>
      </c>
      <c r="E103" s="37">
        <v>46233.0</v>
      </c>
      <c r="F103" s="32" t="s">
        <v>23</v>
      </c>
      <c r="G103" s="32">
        <v>97.0</v>
      </c>
      <c r="H103" s="32">
        <v>10.03</v>
      </c>
      <c r="I103" s="11">
        <v>8.0</v>
      </c>
      <c r="J103" s="22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9" t="s">
        <v>683</v>
      </c>
      <c r="B104" s="11">
        <v>35.0</v>
      </c>
      <c r="C104" s="9" t="s">
        <v>36</v>
      </c>
      <c r="D104" s="11">
        <v>1.0</v>
      </c>
      <c r="E104" s="37">
        <v>46233.0</v>
      </c>
      <c r="F104" s="32" t="s">
        <v>23</v>
      </c>
      <c r="G104" s="32">
        <v>97.0</v>
      </c>
      <c r="H104" s="32">
        <v>10.03</v>
      </c>
      <c r="I104" s="11">
        <v>7.92</v>
      </c>
      <c r="J104" s="22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1" t="s">
        <v>689</v>
      </c>
      <c r="B105" s="32">
        <v>36.0</v>
      </c>
      <c r="C105" s="31" t="s">
        <v>28</v>
      </c>
      <c r="D105" s="32">
        <v>1.0</v>
      </c>
      <c r="E105" s="37">
        <v>46233.0</v>
      </c>
      <c r="F105" s="32" t="s">
        <v>23</v>
      </c>
      <c r="G105" s="32">
        <v>97.0</v>
      </c>
      <c r="H105" s="32">
        <v>10.03</v>
      </c>
      <c r="I105" s="32">
        <v>8.03</v>
      </c>
      <c r="J105" s="33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1" t="s">
        <v>695</v>
      </c>
      <c r="B106" s="32">
        <v>36.0</v>
      </c>
      <c r="C106" s="31" t="s">
        <v>19</v>
      </c>
      <c r="D106" s="32">
        <v>1.0</v>
      </c>
      <c r="E106" s="37">
        <v>46233.0</v>
      </c>
      <c r="F106" s="32" t="s">
        <v>23</v>
      </c>
      <c r="G106" s="32">
        <v>97.0</v>
      </c>
      <c r="H106" s="32">
        <v>10.03</v>
      </c>
      <c r="I106" s="32">
        <v>8.0</v>
      </c>
      <c r="J106" s="33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1" t="s">
        <v>701</v>
      </c>
      <c r="B107" s="32">
        <v>36.0</v>
      </c>
      <c r="C107" s="31" t="s">
        <v>36</v>
      </c>
      <c r="D107" s="32">
        <v>1.0</v>
      </c>
      <c r="E107" s="37">
        <v>46233.0</v>
      </c>
      <c r="F107" s="32" t="s">
        <v>23</v>
      </c>
      <c r="G107" s="32">
        <v>97.0</v>
      </c>
      <c r="H107" s="32">
        <v>10.03</v>
      </c>
      <c r="I107" s="32">
        <v>7.89</v>
      </c>
      <c r="J107" s="33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9" t="s">
        <v>707</v>
      </c>
      <c r="B108" s="11">
        <v>37.0</v>
      </c>
      <c r="C108" s="9" t="s">
        <v>28</v>
      </c>
      <c r="D108" s="11">
        <v>1.0</v>
      </c>
      <c r="E108" s="37">
        <v>46233.0</v>
      </c>
      <c r="F108" s="32" t="s">
        <v>23</v>
      </c>
      <c r="G108" s="32">
        <v>97.0</v>
      </c>
      <c r="H108" s="32">
        <v>10.04</v>
      </c>
      <c r="I108" s="11">
        <v>8.04</v>
      </c>
      <c r="J108" s="22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9" t="s">
        <v>712</v>
      </c>
      <c r="B109" s="11">
        <v>37.0</v>
      </c>
      <c r="C109" s="9" t="s">
        <v>19</v>
      </c>
      <c r="D109" s="11">
        <v>1.0</v>
      </c>
      <c r="E109" s="37">
        <v>46233.0</v>
      </c>
      <c r="F109" s="32" t="s">
        <v>23</v>
      </c>
      <c r="G109" s="32">
        <v>97.0</v>
      </c>
      <c r="H109" s="32">
        <v>10.04</v>
      </c>
      <c r="I109" s="11">
        <v>8.1</v>
      </c>
      <c r="J109" s="22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9" t="s">
        <v>720</v>
      </c>
      <c r="B110" s="11">
        <v>37.0</v>
      </c>
      <c r="C110" s="9" t="s">
        <v>36</v>
      </c>
      <c r="D110" s="11">
        <v>1.0</v>
      </c>
      <c r="E110" s="37">
        <v>46233.0</v>
      </c>
      <c r="F110" s="32" t="s">
        <v>23</v>
      </c>
      <c r="G110" s="32">
        <v>97.0</v>
      </c>
      <c r="H110" s="32">
        <v>10.04</v>
      </c>
      <c r="I110" s="11">
        <v>7.92</v>
      </c>
      <c r="J110" s="22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1" t="s">
        <v>727</v>
      </c>
      <c r="B111" s="32">
        <v>38.0</v>
      </c>
      <c r="C111" s="31" t="s">
        <v>28</v>
      </c>
      <c r="D111" s="32">
        <v>1.0</v>
      </c>
      <c r="E111" s="37">
        <v>46233.0</v>
      </c>
      <c r="F111" s="32" t="s">
        <v>23</v>
      </c>
      <c r="G111" s="32">
        <v>97.0</v>
      </c>
      <c r="H111" s="32">
        <v>10.04</v>
      </c>
      <c r="I111" s="32">
        <v>8.11</v>
      </c>
      <c r="J111" s="33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1" t="s">
        <v>731</v>
      </c>
      <c r="B112" s="32">
        <v>38.0</v>
      </c>
      <c r="C112" s="31" t="s">
        <v>19</v>
      </c>
      <c r="D112" s="32">
        <v>1.0</v>
      </c>
      <c r="E112" s="37">
        <v>46233.0</v>
      </c>
      <c r="F112" s="32" t="s">
        <v>23</v>
      </c>
      <c r="G112" s="32">
        <v>97.0</v>
      </c>
      <c r="H112" s="32">
        <v>10.04</v>
      </c>
      <c r="I112" s="32">
        <v>8.08</v>
      </c>
      <c r="J112" s="33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1" t="s">
        <v>738</v>
      </c>
      <c r="B113" s="32">
        <v>38.0</v>
      </c>
      <c r="C113" s="31" t="s">
        <v>36</v>
      </c>
      <c r="D113" s="32">
        <v>1.0</v>
      </c>
      <c r="E113" s="37">
        <v>46233.0</v>
      </c>
      <c r="F113" s="32" t="s">
        <v>23</v>
      </c>
      <c r="G113" s="32">
        <v>97.0</v>
      </c>
      <c r="H113" s="32">
        <v>10.04</v>
      </c>
      <c r="I113" s="32">
        <v>8.06</v>
      </c>
      <c r="J113" s="33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9" t="s">
        <v>743</v>
      </c>
      <c r="B114" s="11">
        <v>39.0</v>
      </c>
      <c r="C114" s="9" t="s">
        <v>28</v>
      </c>
      <c r="D114" s="11">
        <v>1.0</v>
      </c>
      <c r="E114" s="37">
        <v>46233.0</v>
      </c>
      <c r="F114" s="32" t="s">
        <v>23</v>
      </c>
      <c r="G114" s="32">
        <v>97.0</v>
      </c>
      <c r="H114" s="32">
        <v>10.04</v>
      </c>
      <c r="I114" s="11">
        <v>8.05</v>
      </c>
      <c r="J114" s="22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9" t="s">
        <v>750</v>
      </c>
      <c r="B115" s="11">
        <v>39.0</v>
      </c>
      <c r="C115" s="9" t="s">
        <v>19</v>
      </c>
      <c r="D115" s="11">
        <v>1.0</v>
      </c>
      <c r="E115" s="37">
        <v>46233.0</v>
      </c>
      <c r="F115" s="32" t="s">
        <v>23</v>
      </c>
      <c r="G115" s="32">
        <v>97.0</v>
      </c>
      <c r="H115" s="32">
        <v>10.04</v>
      </c>
      <c r="I115" s="11">
        <v>8.19</v>
      </c>
      <c r="J115" s="22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9" t="s">
        <v>757</v>
      </c>
      <c r="B116" s="11">
        <v>39.0</v>
      </c>
      <c r="C116" s="9" t="s">
        <v>36</v>
      </c>
      <c r="D116" s="11">
        <v>1.0</v>
      </c>
      <c r="E116" s="37">
        <v>46233.0</v>
      </c>
      <c r="F116" s="32" t="s">
        <v>23</v>
      </c>
      <c r="G116" s="32">
        <v>97.0</v>
      </c>
      <c r="H116" s="32">
        <v>10.04</v>
      </c>
      <c r="I116" s="11">
        <v>7.92</v>
      </c>
      <c r="J116" s="22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1" t="s">
        <v>764</v>
      </c>
      <c r="B117" s="32">
        <v>40.0</v>
      </c>
      <c r="C117" s="31" t="s">
        <v>28</v>
      </c>
      <c r="D117" s="32">
        <v>1.0</v>
      </c>
      <c r="E117" s="37">
        <v>46233.0</v>
      </c>
      <c r="F117" s="32" t="s">
        <v>23</v>
      </c>
      <c r="G117" s="32">
        <v>97.0</v>
      </c>
      <c r="H117" s="32">
        <v>10.04</v>
      </c>
      <c r="I117" s="32">
        <v>8.13</v>
      </c>
      <c r="J117" s="3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1" t="s">
        <v>770</v>
      </c>
      <c r="B118" s="32">
        <v>40.0</v>
      </c>
      <c r="C118" s="31" t="s">
        <v>19</v>
      </c>
      <c r="D118" s="32">
        <v>1.0</v>
      </c>
      <c r="E118" s="37">
        <v>46233.0</v>
      </c>
      <c r="F118" s="32" t="s">
        <v>23</v>
      </c>
      <c r="G118" s="32">
        <v>97.0</v>
      </c>
      <c r="H118" s="32">
        <v>10.04</v>
      </c>
      <c r="I118" s="32">
        <v>8.18</v>
      </c>
      <c r="J118" s="33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9" t="s">
        <v>776</v>
      </c>
      <c r="B119" s="11">
        <v>41.0</v>
      </c>
      <c r="C119" s="9" t="s">
        <v>28</v>
      </c>
      <c r="D119" s="11">
        <v>1.0</v>
      </c>
      <c r="E119" s="30"/>
      <c r="F119" s="30"/>
      <c r="G119" s="30"/>
      <c r="H119" s="30"/>
      <c r="I119" s="30"/>
      <c r="J119" s="22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9" t="s">
        <v>781</v>
      </c>
      <c r="B120" s="11">
        <v>41.0</v>
      </c>
      <c r="C120" s="9" t="s">
        <v>19</v>
      </c>
      <c r="D120" s="11">
        <v>1.0</v>
      </c>
      <c r="E120" s="30"/>
      <c r="F120" s="30"/>
      <c r="G120" s="30"/>
      <c r="H120" s="30"/>
      <c r="I120" s="30"/>
      <c r="J120" s="22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9" t="s">
        <v>788</v>
      </c>
      <c r="B121" s="11">
        <v>41.0</v>
      </c>
      <c r="C121" s="9" t="s">
        <v>36</v>
      </c>
      <c r="D121" s="11">
        <v>1.0</v>
      </c>
      <c r="E121" s="30"/>
      <c r="F121" s="30"/>
      <c r="G121" s="30"/>
      <c r="H121" s="30"/>
      <c r="I121" s="30"/>
      <c r="J121" s="22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1" t="s">
        <v>795</v>
      </c>
      <c r="B122" s="32">
        <v>42.0</v>
      </c>
      <c r="C122" s="31" t="s">
        <v>28</v>
      </c>
      <c r="D122" s="32">
        <v>1.0</v>
      </c>
      <c r="E122" s="34"/>
      <c r="F122" s="34"/>
      <c r="G122" s="34"/>
      <c r="H122" s="34"/>
      <c r="I122" s="34"/>
      <c r="J122" s="33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1" t="s">
        <v>801</v>
      </c>
      <c r="B123" s="32">
        <v>42.0</v>
      </c>
      <c r="C123" s="31" t="s">
        <v>19</v>
      </c>
      <c r="D123" s="32">
        <v>1.0</v>
      </c>
      <c r="E123" s="34"/>
      <c r="F123" s="34"/>
      <c r="G123" s="34"/>
      <c r="H123" s="34"/>
      <c r="I123" s="34"/>
      <c r="J123" s="33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1" t="s">
        <v>808</v>
      </c>
      <c r="B124" s="32">
        <v>42.0</v>
      </c>
      <c r="C124" s="31" t="s">
        <v>36</v>
      </c>
      <c r="D124" s="32">
        <v>1.0</v>
      </c>
      <c r="E124" s="34"/>
      <c r="F124" s="34"/>
      <c r="G124" s="34"/>
      <c r="H124" s="34"/>
      <c r="I124" s="34"/>
      <c r="J124" s="33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9" t="s">
        <v>815</v>
      </c>
      <c r="B125" s="11">
        <v>43.0</v>
      </c>
      <c r="C125" s="9" t="s">
        <v>28</v>
      </c>
      <c r="D125" s="11">
        <v>1.0</v>
      </c>
      <c r="E125" s="30"/>
      <c r="F125" s="30"/>
      <c r="G125" s="30"/>
      <c r="H125" s="30"/>
      <c r="I125" s="30"/>
      <c r="J125" s="22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9" t="s">
        <v>821</v>
      </c>
      <c r="B126" s="11">
        <v>43.0</v>
      </c>
      <c r="C126" s="9" t="s">
        <v>19</v>
      </c>
      <c r="D126" s="11">
        <v>1.0</v>
      </c>
      <c r="E126" s="30"/>
      <c r="F126" s="30"/>
      <c r="G126" s="30"/>
      <c r="H126" s="30"/>
      <c r="I126" s="30"/>
      <c r="J126" s="22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9" t="s">
        <v>828</v>
      </c>
      <c r="B127" s="11">
        <v>43.0</v>
      </c>
      <c r="C127" s="9" t="s">
        <v>36</v>
      </c>
      <c r="D127" s="11">
        <v>1.0</v>
      </c>
      <c r="E127" s="30"/>
      <c r="F127" s="30"/>
      <c r="G127" s="30"/>
      <c r="H127" s="30"/>
      <c r="I127" s="30"/>
      <c r="J127" s="22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1" t="s">
        <v>836</v>
      </c>
      <c r="B128" s="32">
        <v>44.0</v>
      </c>
      <c r="C128" s="31" t="s">
        <v>28</v>
      </c>
      <c r="D128" s="32">
        <v>1.0</v>
      </c>
      <c r="E128" s="34"/>
      <c r="F128" s="34"/>
      <c r="G128" s="34"/>
      <c r="H128" s="34"/>
      <c r="I128" s="34"/>
      <c r="J128" s="33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1" t="s">
        <v>842</v>
      </c>
      <c r="B129" s="32">
        <v>44.0</v>
      </c>
      <c r="C129" s="31" t="s">
        <v>19</v>
      </c>
      <c r="D129" s="32">
        <v>1.0</v>
      </c>
      <c r="E129" s="34"/>
      <c r="F129" s="34"/>
      <c r="G129" s="34"/>
      <c r="H129" s="34"/>
      <c r="I129" s="34"/>
      <c r="J129" s="33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1" t="s">
        <v>848</v>
      </c>
      <c r="B130" s="32">
        <v>44.0</v>
      </c>
      <c r="C130" s="31" t="s">
        <v>36</v>
      </c>
      <c r="D130" s="32">
        <v>1.0</v>
      </c>
      <c r="E130" s="34"/>
      <c r="F130" s="34"/>
      <c r="G130" s="34"/>
      <c r="H130" s="34"/>
      <c r="I130" s="34"/>
      <c r="J130" s="33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9" t="s">
        <v>854</v>
      </c>
      <c r="B131" s="11">
        <v>45.0</v>
      </c>
      <c r="C131" s="9" t="s">
        <v>28</v>
      </c>
      <c r="D131" s="11">
        <v>1.0</v>
      </c>
      <c r="E131" s="30"/>
      <c r="F131" s="30"/>
      <c r="G131" s="30"/>
      <c r="H131" s="30"/>
      <c r="I131" s="30"/>
      <c r="J131" s="22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9" t="s">
        <v>862</v>
      </c>
      <c r="B132" s="11">
        <v>45.0</v>
      </c>
      <c r="C132" s="9" t="s">
        <v>19</v>
      </c>
      <c r="D132" s="11">
        <v>1.0</v>
      </c>
      <c r="E132" s="30"/>
      <c r="F132" s="30"/>
      <c r="G132" s="30"/>
      <c r="H132" s="30"/>
      <c r="I132" s="30"/>
      <c r="J132" s="22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9" t="s">
        <v>869</v>
      </c>
      <c r="B133" s="11">
        <v>45.0</v>
      </c>
      <c r="C133" s="9" t="s">
        <v>36</v>
      </c>
      <c r="D133" s="11">
        <v>1.0</v>
      </c>
      <c r="E133" s="30"/>
      <c r="F133" s="30"/>
      <c r="G133" s="30"/>
      <c r="H133" s="30"/>
      <c r="I133" s="30"/>
      <c r="J133" s="22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1" t="s">
        <v>872</v>
      </c>
      <c r="B134" s="32">
        <v>46.0</v>
      </c>
      <c r="C134" s="31" t="s">
        <v>28</v>
      </c>
      <c r="D134" s="32">
        <v>1.0</v>
      </c>
      <c r="E134" s="34"/>
      <c r="F134" s="34"/>
      <c r="G134" s="34"/>
      <c r="H134" s="34"/>
      <c r="I134" s="34"/>
      <c r="J134" s="33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1" t="s">
        <v>877</v>
      </c>
      <c r="B135" s="32">
        <v>46.0</v>
      </c>
      <c r="C135" s="31" t="s">
        <v>19</v>
      </c>
      <c r="D135" s="32">
        <v>1.0</v>
      </c>
      <c r="E135" s="34"/>
      <c r="F135" s="34"/>
      <c r="G135" s="34"/>
      <c r="H135" s="34"/>
      <c r="I135" s="34"/>
      <c r="J135" s="33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1" t="s">
        <v>882</v>
      </c>
      <c r="B136" s="32">
        <v>46.0</v>
      </c>
      <c r="C136" s="31" t="s">
        <v>36</v>
      </c>
      <c r="D136" s="32">
        <v>1.0</v>
      </c>
      <c r="E136" s="34"/>
      <c r="F136" s="34"/>
      <c r="G136" s="34"/>
      <c r="H136" s="34"/>
      <c r="I136" s="34"/>
      <c r="J136" s="33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9" t="s">
        <v>886</v>
      </c>
      <c r="B137" s="11">
        <v>47.0</v>
      </c>
      <c r="C137" s="9" t="s">
        <v>28</v>
      </c>
      <c r="D137" s="11">
        <v>1.0</v>
      </c>
      <c r="E137" s="30"/>
      <c r="F137" s="30"/>
      <c r="G137" s="30"/>
      <c r="H137" s="30"/>
      <c r="I137" s="30"/>
      <c r="J137" s="22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9" t="s">
        <v>892</v>
      </c>
      <c r="B138" s="11">
        <v>47.0</v>
      </c>
      <c r="C138" s="9" t="s">
        <v>19</v>
      </c>
      <c r="D138" s="11">
        <v>1.0</v>
      </c>
      <c r="E138" s="30"/>
      <c r="F138" s="30"/>
      <c r="G138" s="30"/>
      <c r="H138" s="30"/>
      <c r="I138" s="30"/>
      <c r="J138" s="22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9" t="s">
        <v>897</v>
      </c>
      <c r="B139" s="11">
        <v>47.0</v>
      </c>
      <c r="C139" s="9" t="s">
        <v>36</v>
      </c>
      <c r="D139" s="11">
        <v>1.0</v>
      </c>
      <c r="E139" s="30"/>
      <c r="F139" s="30"/>
      <c r="G139" s="30"/>
      <c r="H139" s="30"/>
      <c r="I139" s="30"/>
      <c r="J139" s="22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1" t="s">
        <v>909</v>
      </c>
      <c r="B140" s="32">
        <v>48.0</v>
      </c>
      <c r="C140" s="31" t="s">
        <v>28</v>
      </c>
      <c r="D140" s="32">
        <v>1.0</v>
      </c>
      <c r="E140" s="34"/>
      <c r="F140" s="34"/>
      <c r="G140" s="34"/>
      <c r="H140" s="34"/>
      <c r="I140" s="34"/>
      <c r="J140" s="33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1" t="s">
        <v>917</v>
      </c>
      <c r="B141" s="32">
        <v>48.0</v>
      </c>
      <c r="C141" s="31" t="s">
        <v>19</v>
      </c>
      <c r="D141" s="32">
        <v>1.0</v>
      </c>
      <c r="E141" s="34"/>
      <c r="F141" s="34"/>
      <c r="G141" s="34"/>
      <c r="H141" s="34"/>
      <c r="I141" s="34"/>
      <c r="J141" s="33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1" t="s">
        <v>922</v>
      </c>
      <c r="B142" s="32">
        <v>48.0</v>
      </c>
      <c r="C142" s="31" t="s">
        <v>36</v>
      </c>
      <c r="D142" s="32">
        <v>1.0</v>
      </c>
      <c r="E142" s="34"/>
      <c r="F142" s="34"/>
      <c r="G142" s="34"/>
      <c r="H142" s="34"/>
      <c r="I142" s="34"/>
      <c r="J142" s="33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9" t="s">
        <v>927</v>
      </c>
      <c r="B143" s="11">
        <v>49.0</v>
      </c>
      <c r="C143" s="9" t="s">
        <v>28</v>
      </c>
      <c r="D143" s="11">
        <v>1.0</v>
      </c>
      <c r="E143" s="30"/>
      <c r="F143" s="30"/>
      <c r="G143" s="30"/>
      <c r="H143" s="30"/>
      <c r="I143" s="30"/>
      <c r="J143" s="22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9" t="s">
        <v>931</v>
      </c>
      <c r="B144" s="11">
        <v>49.0</v>
      </c>
      <c r="C144" s="9" t="s">
        <v>19</v>
      </c>
      <c r="D144" s="11">
        <v>1.0</v>
      </c>
      <c r="E144" s="30"/>
      <c r="F144" s="30"/>
      <c r="G144" s="30"/>
      <c r="H144" s="30"/>
      <c r="I144" s="30"/>
      <c r="J144" s="22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9" t="s">
        <v>937</v>
      </c>
      <c r="B145" s="11">
        <v>49.0</v>
      </c>
      <c r="C145" s="9" t="s">
        <v>36</v>
      </c>
      <c r="D145" s="11">
        <v>1.0</v>
      </c>
      <c r="E145" s="30"/>
      <c r="F145" s="30"/>
      <c r="G145" s="30"/>
      <c r="H145" s="30"/>
      <c r="I145" s="30"/>
      <c r="J145" s="22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1" t="s">
        <v>941</v>
      </c>
      <c r="B146" s="32">
        <v>50.0</v>
      </c>
      <c r="C146" s="31" t="s">
        <v>28</v>
      </c>
      <c r="D146" s="32">
        <v>1.0</v>
      </c>
      <c r="E146" s="34"/>
      <c r="F146" s="34"/>
      <c r="G146" s="34"/>
      <c r="H146" s="34"/>
      <c r="I146" s="34"/>
      <c r="J146" s="3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1" t="s">
        <v>946</v>
      </c>
      <c r="B147" s="32">
        <v>50.0</v>
      </c>
      <c r="C147" s="31" t="s">
        <v>19</v>
      </c>
      <c r="D147" s="32">
        <v>1.0</v>
      </c>
      <c r="E147" s="34"/>
      <c r="F147" s="34"/>
      <c r="G147" s="34"/>
      <c r="H147" s="34"/>
      <c r="I147" s="34"/>
      <c r="J147" s="33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1" t="s">
        <v>950</v>
      </c>
      <c r="B148" s="32">
        <v>50.0</v>
      </c>
      <c r="C148" s="31" t="s">
        <v>36</v>
      </c>
      <c r="D148" s="32">
        <v>1.0</v>
      </c>
      <c r="E148" s="34"/>
      <c r="F148" s="34"/>
      <c r="G148" s="34"/>
      <c r="H148" s="34"/>
      <c r="I148" s="34"/>
      <c r="J148" s="33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9" t="s">
        <v>955</v>
      </c>
      <c r="B149" s="11">
        <v>51.0</v>
      </c>
      <c r="C149" s="9" t="s">
        <v>28</v>
      </c>
      <c r="D149" s="11">
        <v>1.0</v>
      </c>
      <c r="E149" s="30"/>
      <c r="F149" s="30"/>
      <c r="G149" s="30"/>
      <c r="H149" s="30"/>
      <c r="I149" s="30"/>
      <c r="J149" s="22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9" t="s">
        <v>959</v>
      </c>
      <c r="B150" s="11">
        <v>51.0</v>
      </c>
      <c r="C150" s="9" t="s">
        <v>19</v>
      </c>
      <c r="D150" s="11">
        <v>1.0</v>
      </c>
      <c r="E150" s="30"/>
      <c r="F150" s="30"/>
      <c r="G150" s="30"/>
      <c r="H150" s="30"/>
      <c r="I150" s="30"/>
      <c r="J150" s="22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9" t="s">
        <v>964</v>
      </c>
      <c r="B151" s="11">
        <v>51.0</v>
      </c>
      <c r="C151" s="9" t="s">
        <v>36</v>
      </c>
      <c r="D151" s="11">
        <v>1.0</v>
      </c>
      <c r="E151" s="30"/>
      <c r="F151" s="30"/>
      <c r="G151" s="30"/>
      <c r="H151" s="30"/>
      <c r="I151" s="30"/>
      <c r="J151" s="22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1" t="s">
        <v>969</v>
      </c>
      <c r="B152" s="32">
        <v>52.0</v>
      </c>
      <c r="C152" s="31" t="s">
        <v>28</v>
      </c>
      <c r="D152" s="32">
        <v>1.0</v>
      </c>
      <c r="E152" s="34"/>
      <c r="F152" s="34"/>
      <c r="G152" s="34"/>
      <c r="H152" s="34"/>
      <c r="I152" s="34"/>
      <c r="J152" s="33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1" t="s">
        <v>975</v>
      </c>
      <c r="B153" s="32">
        <v>52.0</v>
      </c>
      <c r="C153" s="31" t="s">
        <v>19</v>
      </c>
      <c r="D153" s="32">
        <v>1.0</v>
      </c>
      <c r="E153" s="34"/>
      <c r="F153" s="34"/>
      <c r="G153" s="34"/>
      <c r="H153" s="34"/>
      <c r="I153" s="34"/>
      <c r="J153" s="33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1" t="s">
        <v>980</v>
      </c>
      <c r="B154" s="32">
        <v>52.0</v>
      </c>
      <c r="C154" s="31" t="s">
        <v>36</v>
      </c>
      <c r="D154" s="32">
        <v>1.0</v>
      </c>
      <c r="E154" s="34"/>
      <c r="F154" s="34"/>
      <c r="G154" s="34"/>
      <c r="H154" s="34"/>
      <c r="I154" s="34"/>
      <c r="J154" s="33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9" t="s">
        <v>985</v>
      </c>
      <c r="B155" s="11">
        <v>53.0</v>
      </c>
      <c r="C155" s="9" t="s">
        <v>28</v>
      </c>
      <c r="D155" s="11">
        <v>1.0</v>
      </c>
      <c r="E155" s="30"/>
      <c r="F155" s="30"/>
      <c r="G155" s="30"/>
      <c r="H155" s="30"/>
      <c r="I155" s="30"/>
      <c r="J155" s="22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9" t="s">
        <v>996</v>
      </c>
      <c r="B156" s="11">
        <v>53.0</v>
      </c>
      <c r="C156" s="9" t="s">
        <v>19</v>
      </c>
      <c r="D156" s="11">
        <v>1.0</v>
      </c>
      <c r="E156" s="30"/>
      <c r="F156" s="30"/>
      <c r="G156" s="30"/>
      <c r="H156" s="30"/>
      <c r="I156" s="30"/>
      <c r="J156" s="22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9" t="s">
        <v>1000</v>
      </c>
      <c r="B157" s="11">
        <v>53.0</v>
      </c>
      <c r="C157" s="9" t="s">
        <v>36</v>
      </c>
      <c r="D157" s="11">
        <v>1.0</v>
      </c>
      <c r="E157" s="30"/>
      <c r="F157" s="30"/>
      <c r="G157" s="30"/>
      <c r="H157" s="30"/>
      <c r="I157" s="30"/>
      <c r="J157" s="22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1" t="s">
        <v>1005</v>
      </c>
      <c r="B158" s="32">
        <v>54.0</v>
      </c>
      <c r="C158" s="31" t="s">
        <v>28</v>
      </c>
      <c r="D158" s="32">
        <v>1.0</v>
      </c>
      <c r="E158" s="34"/>
      <c r="F158" s="34"/>
      <c r="G158" s="34"/>
      <c r="H158" s="34"/>
      <c r="I158" s="34"/>
      <c r="J158" s="33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1" t="s">
        <v>1011</v>
      </c>
      <c r="B159" s="32">
        <v>54.0</v>
      </c>
      <c r="C159" s="31" t="s">
        <v>19</v>
      </c>
      <c r="D159" s="32">
        <v>1.0</v>
      </c>
      <c r="E159" s="34"/>
      <c r="F159" s="34"/>
      <c r="G159" s="34"/>
      <c r="H159" s="34"/>
      <c r="I159" s="34"/>
      <c r="J159" s="33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1" t="s">
        <v>1021</v>
      </c>
      <c r="B160" s="32">
        <v>54.0</v>
      </c>
      <c r="C160" s="31" t="s">
        <v>36</v>
      </c>
      <c r="D160" s="32">
        <v>1.0</v>
      </c>
      <c r="E160" s="34"/>
      <c r="F160" s="34"/>
      <c r="G160" s="34"/>
      <c r="H160" s="34"/>
      <c r="I160" s="34"/>
      <c r="J160" s="33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9" t="s">
        <v>1028</v>
      </c>
      <c r="B161" s="11">
        <v>55.0</v>
      </c>
      <c r="C161" s="9" t="s">
        <v>28</v>
      </c>
      <c r="D161" s="11">
        <v>1.0</v>
      </c>
      <c r="E161" s="30"/>
      <c r="F161" s="30"/>
      <c r="G161" s="30"/>
      <c r="H161" s="30"/>
      <c r="I161" s="30"/>
      <c r="J161" s="22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9" t="s">
        <v>1033</v>
      </c>
      <c r="B162" s="11">
        <v>55.0</v>
      </c>
      <c r="C162" s="9" t="s">
        <v>19</v>
      </c>
      <c r="D162" s="11">
        <v>1.0</v>
      </c>
      <c r="E162" s="30"/>
      <c r="F162" s="30"/>
      <c r="G162" s="30"/>
      <c r="H162" s="30"/>
      <c r="I162" s="30"/>
      <c r="J162" s="22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9" t="s">
        <v>1038</v>
      </c>
      <c r="B163" s="11">
        <v>55.0</v>
      </c>
      <c r="C163" s="9" t="s">
        <v>36</v>
      </c>
      <c r="D163" s="11">
        <v>1.0</v>
      </c>
      <c r="E163" s="30"/>
      <c r="F163" s="30"/>
      <c r="G163" s="30"/>
      <c r="H163" s="30"/>
      <c r="I163" s="30"/>
      <c r="J163" s="22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1" t="s">
        <v>1042</v>
      </c>
      <c r="B164" s="32">
        <v>56.0</v>
      </c>
      <c r="C164" s="31" t="s">
        <v>28</v>
      </c>
      <c r="D164" s="32">
        <v>1.0</v>
      </c>
      <c r="E164" s="34"/>
      <c r="F164" s="34"/>
      <c r="G164" s="34"/>
      <c r="H164" s="34"/>
      <c r="I164" s="34"/>
      <c r="J164" s="33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1" t="s">
        <v>1048</v>
      </c>
      <c r="B165" s="32">
        <v>56.0</v>
      </c>
      <c r="C165" s="31" t="s">
        <v>19</v>
      </c>
      <c r="D165" s="32">
        <v>1.0</v>
      </c>
      <c r="E165" s="34"/>
      <c r="F165" s="34"/>
      <c r="G165" s="34"/>
      <c r="H165" s="34"/>
      <c r="I165" s="34"/>
      <c r="J165" s="33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1" t="s">
        <v>1051</v>
      </c>
      <c r="B166" s="32">
        <v>56.0</v>
      </c>
      <c r="C166" s="31" t="s">
        <v>36</v>
      </c>
      <c r="D166" s="32">
        <v>1.0</v>
      </c>
      <c r="E166" s="34"/>
      <c r="F166" s="34"/>
      <c r="G166" s="34"/>
      <c r="H166" s="34"/>
      <c r="I166" s="34"/>
      <c r="J166" s="33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9" t="s">
        <v>1055</v>
      </c>
      <c r="B167" s="11">
        <v>57.0</v>
      </c>
      <c r="C167" s="9" t="s">
        <v>28</v>
      </c>
      <c r="D167" s="11">
        <v>1.0</v>
      </c>
      <c r="E167" s="30"/>
      <c r="F167" s="30"/>
      <c r="G167" s="30"/>
      <c r="H167" s="30"/>
      <c r="I167" s="30"/>
      <c r="J167" s="22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9" t="s">
        <v>1059</v>
      </c>
      <c r="B168" s="11">
        <v>57.0</v>
      </c>
      <c r="C168" s="9" t="s">
        <v>19</v>
      </c>
      <c r="D168" s="11">
        <v>1.0</v>
      </c>
      <c r="E168" s="30"/>
      <c r="F168" s="30"/>
      <c r="G168" s="30"/>
      <c r="H168" s="30"/>
      <c r="I168" s="30"/>
      <c r="J168" s="22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9" t="s">
        <v>1064</v>
      </c>
      <c r="B169" s="11">
        <v>57.0</v>
      </c>
      <c r="C169" s="9" t="s">
        <v>36</v>
      </c>
      <c r="D169" s="11">
        <v>1.0</v>
      </c>
      <c r="E169" s="30"/>
      <c r="F169" s="30"/>
      <c r="G169" s="30"/>
      <c r="H169" s="30"/>
      <c r="I169" s="30"/>
      <c r="J169" s="22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1" t="s">
        <v>1067</v>
      </c>
      <c r="B170" s="32">
        <v>58.0</v>
      </c>
      <c r="C170" s="31" t="s">
        <v>28</v>
      </c>
      <c r="D170" s="32">
        <v>1.0</v>
      </c>
      <c r="E170" s="34"/>
      <c r="F170" s="34"/>
      <c r="G170" s="34"/>
      <c r="H170" s="34"/>
      <c r="I170" s="34"/>
      <c r="J170" s="33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1" t="s">
        <v>1072</v>
      </c>
      <c r="B171" s="32">
        <v>58.0</v>
      </c>
      <c r="C171" s="31" t="s">
        <v>19</v>
      </c>
      <c r="D171" s="32">
        <v>1.0</v>
      </c>
      <c r="E171" s="34"/>
      <c r="F171" s="34"/>
      <c r="G171" s="34"/>
      <c r="H171" s="34"/>
      <c r="I171" s="34"/>
      <c r="J171" s="33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1" t="s">
        <v>1076</v>
      </c>
      <c r="B172" s="32">
        <v>58.0</v>
      </c>
      <c r="C172" s="31" t="s">
        <v>36</v>
      </c>
      <c r="D172" s="32">
        <v>1.0</v>
      </c>
      <c r="E172" s="34"/>
      <c r="F172" s="34"/>
      <c r="G172" s="34"/>
      <c r="H172" s="34"/>
      <c r="I172" s="34"/>
      <c r="J172" s="33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9" t="s">
        <v>1080</v>
      </c>
      <c r="B173" s="11">
        <v>59.0</v>
      </c>
      <c r="C173" s="9" t="s">
        <v>28</v>
      </c>
      <c r="D173" s="11">
        <v>1.0</v>
      </c>
      <c r="E173" s="30"/>
      <c r="F173" s="30"/>
      <c r="G173" s="30"/>
      <c r="H173" s="30"/>
      <c r="I173" s="30"/>
      <c r="J173" s="22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9" t="s">
        <v>1091</v>
      </c>
      <c r="B174" s="11">
        <v>59.0</v>
      </c>
      <c r="C174" s="9" t="s">
        <v>19</v>
      </c>
      <c r="D174" s="11">
        <v>1.0</v>
      </c>
      <c r="E174" s="30"/>
      <c r="F174" s="30"/>
      <c r="G174" s="30"/>
      <c r="H174" s="30"/>
      <c r="I174" s="30"/>
      <c r="J174" s="22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9" t="s">
        <v>1094</v>
      </c>
      <c r="B175" s="11">
        <v>59.0</v>
      </c>
      <c r="C175" s="9" t="s">
        <v>36</v>
      </c>
      <c r="D175" s="11">
        <v>1.0</v>
      </c>
      <c r="E175" s="30"/>
      <c r="F175" s="30"/>
      <c r="G175" s="30"/>
      <c r="H175" s="30"/>
      <c r="I175" s="30"/>
      <c r="J175" s="22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1" t="s">
        <v>1099</v>
      </c>
      <c r="B176" s="32">
        <v>60.0</v>
      </c>
      <c r="C176" s="31" t="s">
        <v>28</v>
      </c>
      <c r="D176" s="32">
        <v>1.0</v>
      </c>
      <c r="E176" s="34"/>
      <c r="F176" s="34"/>
      <c r="G176" s="34"/>
      <c r="H176" s="34"/>
      <c r="I176" s="34"/>
      <c r="J176" s="33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1" t="s">
        <v>1106</v>
      </c>
      <c r="B177" s="32">
        <v>60.0</v>
      </c>
      <c r="C177" s="31" t="s">
        <v>19</v>
      </c>
      <c r="D177" s="32">
        <v>1.0</v>
      </c>
      <c r="E177" s="34"/>
      <c r="F177" s="34"/>
      <c r="G177" s="34"/>
      <c r="H177" s="34"/>
      <c r="I177" s="34"/>
      <c r="J177" s="33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1" t="s">
        <v>1110</v>
      </c>
      <c r="B178" s="32">
        <v>60.0</v>
      </c>
      <c r="C178" s="31" t="s">
        <v>36</v>
      </c>
      <c r="D178" s="32">
        <v>1.0</v>
      </c>
      <c r="E178" s="34"/>
      <c r="F178" s="34"/>
      <c r="G178" s="34"/>
      <c r="H178" s="34"/>
      <c r="I178" s="34"/>
      <c r="J178" s="33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  <c r="J1" s="3" t="s">
        <v>13</v>
      </c>
    </row>
    <row r="2">
      <c r="A2" s="9" t="s">
        <v>147</v>
      </c>
      <c r="B2" s="11">
        <v>1.0</v>
      </c>
      <c r="C2" s="9" t="s">
        <v>19</v>
      </c>
      <c r="D2" s="11">
        <v>1.0</v>
      </c>
      <c r="E2" s="16">
        <v>46217.0</v>
      </c>
      <c r="F2" s="11" t="s">
        <v>23</v>
      </c>
      <c r="G2" s="18">
        <v>95.5</v>
      </c>
      <c r="H2" s="11">
        <v>10.04</v>
      </c>
      <c r="I2" s="11">
        <v>8.01</v>
      </c>
      <c r="J2" s="11"/>
    </row>
    <row r="3">
      <c r="A3" s="9" t="s">
        <v>150</v>
      </c>
      <c r="B3" s="11">
        <v>1.0</v>
      </c>
      <c r="C3" s="9" t="s">
        <v>19</v>
      </c>
      <c r="D3" s="11">
        <v>3.0</v>
      </c>
      <c r="E3" s="16">
        <v>46217.0</v>
      </c>
      <c r="F3" s="11" t="s">
        <v>23</v>
      </c>
      <c r="G3" s="18">
        <v>95.5</v>
      </c>
      <c r="H3" s="11">
        <v>10.04</v>
      </c>
      <c r="I3" s="11">
        <v>8.05</v>
      </c>
      <c r="J3" s="11"/>
    </row>
    <row r="4">
      <c r="A4" s="9" t="s">
        <v>154</v>
      </c>
      <c r="B4" s="11">
        <v>1.0</v>
      </c>
      <c r="C4" s="9" t="s">
        <v>36</v>
      </c>
      <c r="D4" s="11">
        <v>1.0</v>
      </c>
      <c r="E4" s="16">
        <v>46217.0</v>
      </c>
      <c r="F4" s="11" t="s">
        <v>23</v>
      </c>
      <c r="G4" s="18">
        <v>95.5</v>
      </c>
      <c r="H4" s="11">
        <v>10.04</v>
      </c>
      <c r="I4" s="11">
        <v>8.0</v>
      </c>
      <c r="J4" s="11"/>
    </row>
    <row r="5">
      <c r="A5" s="9" t="s">
        <v>157</v>
      </c>
      <c r="B5" s="11">
        <v>1.0</v>
      </c>
      <c r="C5" s="9" t="s">
        <v>36</v>
      </c>
      <c r="D5" s="11">
        <v>2.0</v>
      </c>
      <c r="E5" s="16">
        <v>46217.0</v>
      </c>
      <c r="F5" s="11" t="s">
        <v>23</v>
      </c>
      <c r="G5" s="18">
        <v>95.5</v>
      </c>
      <c r="H5" s="11">
        <v>10.04</v>
      </c>
      <c r="I5" s="11">
        <v>7.92</v>
      </c>
      <c r="J5" s="11"/>
    </row>
    <row r="6">
      <c r="A6" s="9" t="s">
        <v>160</v>
      </c>
      <c r="B6" s="11">
        <v>1.0</v>
      </c>
      <c r="C6" s="9" t="s">
        <v>36</v>
      </c>
      <c r="D6" s="11">
        <v>3.0</v>
      </c>
      <c r="E6" s="16">
        <v>46217.0</v>
      </c>
      <c r="F6" s="11" t="s">
        <v>23</v>
      </c>
      <c r="G6" s="18">
        <v>95.5</v>
      </c>
      <c r="H6" s="11">
        <v>10.04</v>
      </c>
      <c r="I6" s="11">
        <v>7.86</v>
      </c>
      <c r="J6" s="11"/>
    </row>
    <row r="7">
      <c r="A7" s="31" t="s">
        <v>164</v>
      </c>
      <c r="B7" s="32">
        <v>2.0</v>
      </c>
      <c r="C7" s="31" t="s">
        <v>28</v>
      </c>
      <c r="D7" s="32">
        <v>1.0</v>
      </c>
      <c r="E7" s="37">
        <v>46217.0</v>
      </c>
      <c r="F7" s="32" t="s">
        <v>23</v>
      </c>
      <c r="G7" s="38">
        <v>95.5</v>
      </c>
      <c r="H7" s="32">
        <v>10.04</v>
      </c>
      <c r="I7" s="32">
        <v>7.98</v>
      </c>
      <c r="J7" s="33"/>
    </row>
    <row r="8">
      <c r="A8" s="31" t="s">
        <v>167</v>
      </c>
      <c r="B8" s="32">
        <v>2.0</v>
      </c>
      <c r="C8" s="31" t="s">
        <v>28</v>
      </c>
      <c r="D8" s="32">
        <v>2.0</v>
      </c>
      <c r="E8" s="37">
        <v>46217.0</v>
      </c>
      <c r="F8" s="32" t="s">
        <v>23</v>
      </c>
      <c r="G8" s="38">
        <v>95.5</v>
      </c>
      <c r="H8" s="32">
        <v>10.04</v>
      </c>
      <c r="I8" s="32">
        <v>7.9</v>
      </c>
      <c r="J8" s="33"/>
    </row>
    <row r="9">
      <c r="A9" s="31" t="s">
        <v>170</v>
      </c>
      <c r="B9" s="32">
        <v>2.0</v>
      </c>
      <c r="C9" s="31" t="s">
        <v>19</v>
      </c>
      <c r="D9" s="32">
        <v>1.0</v>
      </c>
      <c r="E9" s="37">
        <v>46217.0</v>
      </c>
      <c r="F9" s="32" t="s">
        <v>23</v>
      </c>
      <c r="G9" s="38">
        <v>95.5</v>
      </c>
      <c r="H9" s="32">
        <v>10.04</v>
      </c>
      <c r="I9" s="32">
        <v>8.11</v>
      </c>
      <c r="J9" s="33"/>
    </row>
    <row r="10">
      <c r="A10" s="31" t="s">
        <v>174</v>
      </c>
      <c r="B10" s="32">
        <v>2.0</v>
      </c>
      <c r="C10" s="31" t="s">
        <v>19</v>
      </c>
      <c r="D10" s="32">
        <v>2.0</v>
      </c>
      <c r="E10" s="37">
        <v>46217.0</v>
      </c>
      <c r="F10" s="32" t="s">
        <v>23</v>
      </c>
      <c r="G10" s="38">
        <v>95.5</v>
      </c>
      <c r="H10" s="32">
        <v>10.04</v>
      </c>
      <c r="I10" s="32">
        <v>8.16</v>
      </c>
      <c r="J10" s="33"/>
    </row>
    <row r="11">
      <c r="A11" s="31" t="s">
        <v>177</v>
      </c>
      <c r="B11" s="32">
        <v>2.0</v>
      </c>
      <c r="C11" s="31" t="s">
        <v>36</v>
      </c>
      <c r="D11" s="32">
        <v>1.0</v>
      </c>
      <c r="E11" s="37">
        <v>46217.0</v>
      </c>
      <c r="F11" s="32" t="s">
        <v>23</v>
      </c>
      <c r="G11" s="38">
        <v>95.5</v>
      </c>
      <c r="H11" s="32">
        <v>10.04</v>
      </c>
      <c r="I11" s="32">
        <v>7.6</v>
      </c>
      <c r="J11" s="33"/>
    </row>
    <row r="12">
      <c r="A12" s="31" t="s">
        <v>181</v>
      </c>
      <c r="B12" s="32">
        <v>2.0</v>
      </c>
      <c r="C12" s="31" t="s">
        <v>36</v>
      </c>
      <c r="D12" s="32">
        <v>2.0</v>
      </c>
      <c r="E12" s="37">
        <v>46217.0</v>
      </c>
      <c r="F12" s="32" t="s">
        <v>23</v>
      </c>
      <c r="G12" s="38">
        <v>95.5</v>
      </c>
      <c r="H12" s="32">
        <v>10.04</v>
      </c>
      <c r="I12" s="32">
        <v>7.61</v>
      </c>
      <c r="J12" s="33"/>
    </row>
    <row r="13">
      <c r="A13" s="31" t="s">
        <v>184</v>
      </c>
      <c r="B13" s="32">
        <v>2.0</v>
      </c>
      <c r="C13" s="31" t="s">
        <v>36</v>
      </c>
      <c r="D13" s="32">
        <v>3.0</v>
      </c>
      <c r="E13" s="37">
        <v>46217.0</v>
      </c>
      <c r="F13" s="32" t="s">
        <v>23</v>
      </c>
      <c r="G13" s="38">
        <v>95.5</v>
      </c>
      <c r="H13" s="32">
        <v>10.04</v>
      </c>
      <c r="I13" s="32">
        <v>7.57</v>
      </c>
      <c r="J13" s="33"/>
    </row>
    <row r="14">
      <c r="A14" s="9" t="s">
        <v>187</v>
      </c>
      <c r="B14" s="11">
        <v>3.0</v>
      </c>
      <c r="C14" s="9" t="s">
        <v>36</v>
      </c>
      <c r="D14" s="11">
        <v>1.0</v>
      </c>
      <c r="E14" s="16">
        <v>46217.0</v>
      </c>
      <c r="F14" s="11" t="s">
        <v>23</v>
      </c>
      <c r="G14" s="18">
        <v>95.5</v>
      </c>
      <c r="H14" s="11">
        <v>10.04</v>
      </c>
      <c r="I14" s="11">
        <v>7.56</v>
      </c>
      <c r="J14" s="22"/>
    </row>
    <row r="15">
      <c r="A15" s="9" t="s">
        <v>192</v>
      </c>
      <c r="B15" s="11">
        <v>3.0</v>
      </c>
      <c r="C15" s="9" t="s">
        <v>36</v>
      </c>
      <c r="D15" s="11">
        <v>2.0</v>
      </c>
      <c r="E15" s="16">
        <v>46217.0</v>
      </c>
      <c r="F15" s="11" t="s">
        <v>23</v>
      </c>
      <c r="G15" s="18">
        <v>95.5</v>
      </c>
      <c r="H15" s="11">
        <v>10.04</v>
      </c>
      <c r="I15" s="11">
        <v>7.51</v>
      </c>
      <c r="J15" s="22"/>
    </row>
    <row r="16">
      <c r="A16" s="9" t="s">
        <v>197</v>
      </c>
      <c r="B16" s="11">
        <v>3.0</v>
      </c>
      <c r="C16" s="9" t="s">
        <v>36</v>
      </c>
      <c r="D16" s="11">
        <v>3.0</v>
      </c>
      <c r="E16" s="16">
        <v>46217.0</v>
      </c>
      <c r="F16" s="11" t="s">
        <v>23</v>
      </c>
      <c r="G16" s="18">
        <v>95.5</v>
      </c>
      <c r="H16" s="11">
        <v>10.04</v>
      </c>
      <c r="I16" s="11">
        <v>7.48</v>
      </c>
      <c r="J16" s="22"/>
    </row>
    <row r="17">
      <c r="A17" s="31" t="s">
        <v>201</v>
      </c>
      <c r="B17" s="32">
        <v>4.0</v>
      </c>
      <c r="C17" s="31" t="s">
        <v>28</v>
      </c>
      <c r="D17" s="32">
        <v>1.0</v>
      </c>
      <c r="E17" s="37">
        <v>46217.0</v>
      </c>
      <c r="F17" s="32" t="s">
        <v>23</v>
      </c>
      <c r="G17" s="38">
        <v>95.5</v>
      </c>
      <c r="H17" s="32">
        <v>10.04</v>
      </c>
      <c r="I17" s="32">
        <v>8.01</v>
      </c>
      <c r="J17" s="32"/>
    </row>
    <row r="18">
      <c r="A18" s="31" t="s">
        <v>204</v>
      </c>
      <c r="B18" s="32">
        <v>4.0</v>
      </c>
      <c r="C18" s="31" t="s">
        <v>28</v>
      </c>
      <c r="D18" s="32">
        <v>3.0</v>
      </c>
      <c r="E18" s="37">
        <v>46217.0</v>
      </c>
      <c r="F18" s="32" t="s">
        <v>23</v>
      </c>
      <c r="G18" s="38">
        <v>95.5</v>
      </c>
      <c r="H18" s="32">
        <v>10.04</v>
      </c>
      <c r="I18" s="32">
        <v>7.96</v>
      </c>
      <c r="J18" s="32"/>
    </row>
    <row r="19">
      <c r="A19" s="31" t="s">
        <v>208</v>
      </c>
      <c r="B19" s="32">
        <v>4.0</v>
      </c>
      <c r="C19" s="31" t="s">
        <v>19</v>
      </c>
      <c r="D19" s="32">
        <v>1.0</v>
      </c>
      <c r="E19" s="37">
        <v>46217.0</v>
      </c>
      <c r="F19" s="32" t="s">
        <v>23</v>
      </c>
      <c r="G19" s="38">
        <v>95.5</v>
      </c>
      <c r="H19" s="32">
        <v>10.04</v>
      </c>
      <c r="I19" s="32">
        <v>7.89</v>
      </c>
      <c r="J19" s="32"/>
    </row>
    <row r="20">
      <c r="A20" s="31" t="s">
        <v>211</v>
      </c>
      <c r="B20" s="32">
        <v>4.0</v>
      </c>
      <c r="C20" s="31" t="s">
        <v>19</v>
      </c>
      <c r="D20" s="32">
        <v>2.0</v>
      </c>
      <c r="E20" s="37">
        <v>46217.0</v>
      </c>
      <c r="F20" s="32" t="s">
        <v>23</v>
      </c>
      <c r="G20" s="38">
        <v>95.5</v>
      </c>
      <c r="H20" s="32">
        <v>10.04</v>
      </c>
      <c r="I20" s="32">
        <v>7.9</v>
      </c>
      <c r="J20" s="32"/>
    </row>
    <row r="21">
      <c r="A21" s="31" t="s">
        <v>213</v>
      </c>
      <c r="B21" s="32">
        <v>4.0</v>
      </c>
      <c r="C21" s="31" t="s">
        <v>19</v>
      </c>
      <c r="D21" s="32">
        <v>3.0</v>
      </c>
      <c r="E21" s="37">
        <v>46217.0</v>
      </c>
      <c r="F21" s="32" t="s">
        <v>23</v>
      </c>
      <c r="G21" s="38">
        <v>95.5</v>
      </c>
      <c r="H21" s="32">
        <v>10.04</v>
      </c>
      <c r="I21" s="32">
        <v>7.94</v>
      </c>
      <c r="J21" s="32"/>
    </row>
    <row r="22">
      <c r="A22" s="31" t="s">
        <v>217</v>
      </c>
      <c r="B22" s="32">
        <v>4.0</v>
      </c>
      <c r="C22" s="31" t="s">
        <v>36</v>
      </c>
      <c r="D22" s="32">
        <v>1.0</v>
      </c>
      <c r="E22" s="37">
        <v>46217.0</v>
      </c>
      <c r="F22" s="32" t="s">
        <v>23</v>
      </c>
      <c r="G22" s="38">
        <v>95.5</v>
      </c>
      <c r="H22" s="32">
        <v>10.04</v>
      </c>
      <c r="I22" s="32">
        <v>7.94</v>
      </c>
      <c r="J22" s="32"/>
    </row>
    <row r="23">
      <c r="A23" s="31" t="s">
        <v>221</v>
      </c>
      <c r="B23" s="32">
        <v>4.0</v>
      </c>
      <c r="C23" s="31" t="s">
        <v>36</v>
      </c>
      <c r="D23" s="32">
        <v>2.0</v>
      </c>
      <c r="E23" s="37">
        <v>46217.0</v>
      </c>
      <c r="F23" s="32" t="s">
        <v>23</v>
      </c>
      <c r="G23" s="38">
        <v>95.5</v>
      </c>
      <c r="H23" s="32">
        <v>10.04</v>
      </c>
      <c r="I23" s="32">
        <v>8.0</v>
      </c>
      <c r="J23" s="32"/>
    </row>
    <row r="24">
      <c r="A24" s="31" t="s">
        <v>225</v>
      </c>
      <c r="B24" s="32">
        <v>4.0</v>
      </c>
      <c r="C24" s="31" t="s">
        <v>36</v>
      </c>
      <c r="D24" s="32">
        <v>3.0</v>
      </c>
      <c r="E24" s="37">
        <v>46217.0</v>
      </c>
      <c r="F24" s="32" t="s">
        <v>23</v>
      </c>
      <c r="G24" s="38">
        <v>95.5</v>
      </c>
      <c r="H24" s="32">
        <v>10.04</v>
      </c>
      <c r="I24" s="32">
        <v>7.91</v>
      </c>
      <c r="J24" s="32"/>
    </row>
    <row r="25">
      <c r="A25" s="9" t="s">
        <v>228</v>
      </c>
      <c r="B25" s="11">
        <v>5.0</v>
      </c>
      <c r="C25" s="9" t="s">
        <v>28</v>
      </c>
      <c r="D25" s="11">
        <v>1.0</v>
      </c>
      <c r="E25" s="16">
        <v>46217.0</v>
      </c>
      <c r="F25" s="11" t="s">
        <v>23</v>
      </c>
      <c r="G25" s="18">
        <v>95.5</v>
      </c>
      <c r="H25" s="11">
        <v>10.04</v>
      </c>
      <c r="I25" s="11">
        <v>8.06</v>
      </c>
      <c r="J25" s="22"/>
    </row>
    <row r="26">
      <c r="A26" s="9" t="s">
        <v>231</v>
      </c>
      <c r="B26" s="11">
        <v>5.0</v>
      </c>
      <c r="C26" s="9" t="s">
        <v>28</v>
      </c>
      <c r="D26" s="11">
        <v>3.0</v>
      </c>
      <c r="E26" s="16">
        <v>46217.0</v>
      </c>
      <c r="F26" s="11" t="s">
        <v>23</v>
      </c>
      <c r="G26" s="18">
        <v>95.5</v>
      </c>
      <c r="H26" s="11">
        <v>10.04</v>
      </c>
      <c r="I26" s="11">
        <v>8.01</v>
      </c>
      <c r="J26" s="22"/>
    </row>
    <row r="27">
      <c r="A27" s="9" t="s">
        <v>234</v>
      </c>
      <c r="B27" s="11">
        <v>5.0</v>
      </c>
      <c r="C27" s="9" t="s">
        <v>19</v>
      </c>
      <c r="D27" s="11">
        <v>1.0</v>
      </c>
      <c r="E27" s="16">
        <v>46217.0</v>
      </c>
      <c r="F27" s="11" t="s">
        <v>23</v>
      </c>
      <c r="G27" s="18">
        <v>95.5</v>
      </c>
      <c r="H27" s="11">
        <v>10.04</v>
      </c>
      <c r="I27" s="11">
        <v>8.01</v>
      </c>
      <c r="J27" s="22"/>
    </row>
    <row r="28">
      <c r="A28" s="9" t="s">
        <v>237</v>
      </c>
      <c r="B28" s="11">
        <v>5.0</v>
      </c>
      <c r="C28" s="9" t="s">
        <v>36</v>
      </c>
      <c r="D28" s="11">
        <v>1.0</v>
      </c>
      <c r="E28" s="16">
        <v>46217.0</v>
      </c>
      <c r="F28" s="11" t="s">
        <v>23</v>
      </c>
      <c r="G28" s="18">
        <v>95.5</v>
      </c>
      <c r="H28" s="11">
        <v>10.04</v>
      </c>
      <c r="I28" s="11">
        <v>8.03</v>
      </c>
      <c r="J28" s="22"/>
    </row>
    <row r="29">
      <c r="A29" s="9" t="s">
        <v>240</v>
      </c>
      <c r="B29" s="11">
        <v>5.0</v>
      </c>
      <c r="C29" s="9" t="s">
        <v>36</v>
      </c>
      <c r="D29" s="11">
        <v>2.0</v>
      </c>
      <c r="E29" s="16">
        <v>46217.0</v>
      </c>
      <c r="F29" s="11" t="s">
        <v>23</v>
      </c>
      <c r="G29" s="18">
        <v>95.5</v>
      </c>
      <c r="H29" s="11">
        <v>10.04</v>
      </c>
      <c r="I29" s="11">
        <v>8.02</v>
      </c>
      <c r="J29" s="22"/>
    </row>
    <row r="30">
      <c r="A30" s="9" t="s">
        <v>242</v>
      </c>
      <c r="B30" s="11">
        <v>5.0</v>
      </c>
      <c r="C30" s="9" t="s">
        <v>36</v>
      </c>
      <c r="D30" s="11">
        <v>3.0</v>
      </c>
      <c r="E30" s="16">
        <v>46217.0</v>
      </c>
      <c r="F30" s="11" t="s">
        <v>23</v>
      </c>
      <c r="G30" s="18">
        <v>95.5</v>
      </c>
      <c r="H30" s="11">
        <v>10.04</v>
      </c>
      <c r="I30" s="11">
        <v>8.0</v>
      </c>
      <c r="J30" s="22"/>
    </row>
    <row r="31">
      <c r="A31" s="31" t="s">
        <v>245</v>
      </c>
      <c r="B31" s="32">
        <v>6.0</v>
      </c>
      <c r="C31" s="31" t="s">
        <v>28</v>
      </c>
      <c r="D31" s="32">
        <v>1.0</v>
      </c>
      <c r="E31" s="37">
        <v>46217.0</v>
      </c>
      <c r="F31" s="32" t="s">
        <v>23</v>
      </c>
      <c r="G31" s="38">
        <v>95.5</v>
      </c>
      <c r="H31" s="32">
        <v>10.04</v>
      </c>
      <c r="I31" s="32">
        <v>7.88</v>
      </c>
      <c r="J31" s="33"/>
    </row>
    <row r="32">
      <c r="A32" s="31" t="s">
        <v>249</v>
      </c>
      <c r="B32" s="32">
        <v>6.0</v>
      </c>
      <c r="C32" s="31" t="s">
        <v>28</v>
      </c>
      <c r="D32" s="32">
        <v>3.0</v>
      </c>
      <c r="E32" s="37">
        <v>46217.0</v>
      </c>
      <c r="F32" s="32" t="s">
        <v>23</v>
      </c>
      <c r="G32" s="38">
        <v>95.5</v>
      </c>
      <c r="H32" s="32">
        <v>10.04</v>
      </c>
      <c r="I32" s="32">
        <v>7.85</v>
      </c>
      <c r="J32" s="33"/>
    </row>
    <row r="33">
      <c r="A33" s="31" t="s">
        <v>253</v>
      </c>
      <c r="B33" s="32">
        <v>6.0</v>
      </c>
      <c r="C33" s="31" t="s">
        <v>19</v>
      </c>
      <c r="D33" s="32">
        <v>1.0</v>
      </c>
      <c r="E33" s="37">
        <v>46217.0</v>
      </c>
      <c r="F33" s="32" t="s">
        <v>23</v>
      </c>
      <c r="G33" s="38">
        <v>95.5</v>
      </c>
      <c r="H33" s="32">
        <v>10.04</v>
      </c>
      <c r="I33" s="32">
        <v>7.86</v>
      </c>
      <c r="J33" s="33"/>
    </row>
    <row r="34">
      <c r="A34" s="31" t="s">
        <v>254</v>
      </c>
      <c r="B34" s="32">
        <v>6.0</v>
      </c>
      <c r="C34" s="31" t="s">
        <v>36</v>
      </c>
      <c r="D34" s="32">
        <v>1.0</v>
      </c>
      <c r="E34" s="37">
        <v>46217.0</v>
      </c>
      <c r="F34" s="32" t="s">
        <v>23</v>
      </c>
      <c r="G34" s="38">
        <v>95.5</v>
      </c>
      <c r="H34" s="32">
        <v>10.04</v>
      </c>
      <c r="I34" s="32">
        <v>7.89</v>
      </c>
      <c r="J34" s="33"/>
    </row>
    <row r="35">
      <c r="A35" s="31" t="s">
        <v>257</v>
      </c>
      <c r="B35" s="32">
        <v>6.0</v>
      </c>
      <c r="C35" s="31" t="s">
        <v>36</v>
      </c>
      <c r="D35" s="32">
        <v>2.0</v>
      </c>
      <c r="E35" s="37">
        <v>46217.0</v>
      </c>
      <c r="F35" s="32" t="s">
        <v>23</v>
      </c>
      <c r="G35" s="38">
        <v>95.5</v>
      </c>
      <c r="H35" s="32">
        <v>10.04</v>
      </c>
      <c r="I35" s="32">
        <v>7.8</v>
      </c>
      <c r="J35" s="33"/>
    </row>
    <row r="36">
      <c r="A36" s="31" t="s">
        <v>261</v>
      </c>
      <c r="B36" s="32">
        <v>6.0</v>
      </c>
      <c r="C36" s="31" t="s">
        <v>36</v>
      </c>
      <c r="D36" s="32">
        <v>3.0</v>
      </c>
      <c r="E36" s="37">
        <v>46217.0</v>
      </c>
      <c r="F36" s="32" t="s">
        <v>23</v>
      </c>
      <c r="G36" s="38">
        <v>95.5</v>
      </c>
      <c r="H36" s="32">
        <v>10.04</v>
      </c>
      <c r="I36" s="32">
        <v>7.85</v>
      </c>
      <c r="J36" s="33"/>
    </row>
    <row r="37">
      <c r="A37" s="9" t="s">
        <v>265</v>
      </c>
      <c r="B37" s="11">
        <v>7.0</v>
      </c>
      <c r="C37" s="9" t="s">
        <v>19</v>
      </c>
      <c r="D37" s="11">
        <v>1.0</v>
      </c>
      <c r="E37" s="16">
        <v>46217.0</v>
      </c>
      <c r="F37" s="11" t="s">
        <v>23</v>
      </c>
      <c r="G37" s="18">
        <v>95.5</v>
      </c>
      <c r="H37" s="11">
        <v>10.04</v>
      </c>
      <c r="I37" s="11">
        <v>7.89</v>
      </c>
      <c r="J37" s="22"/>
    </row>
    <row r="38">
      <c r="A38" s="9" t="s">
        <v>266</v>
      </c>
      <c r="B38" s="11">
        <v>7.0</v>
      </c>
      <c r="C38" s="9" t="s">
        <v>19</v>
      </c>
      <c r="D38" s="11">
        <v>3.0</v>
      </c>
      <c r="E38" s="16">
        <v>46217.0</v>
      </c>
      <c r="F38" s="11" t="s">
        <v>23</v>
      </c>
      <c r="G38" s="18">
        <v>95.5</v>
      </c>
      <c r="H38" s="11">
        <v>10.04</v>
      </c>
      <c r="I38" s="11">
        <v>7.8</v>
      </c>
      <c r="J38" s="22"/>
    </row>
    <row r="39">
      <c r="A39" s="9" t="s">
        <v>269</v>
      </c>
      <c r="B39" s="11">
        <v>7.0</v>
      </c>
      <c r="C39" s="9" t="s">
        <v>36</v>
      </c>
      <c r="D39" s="11">
        <v>1.0</v>
      </c>
      <c r="E39" s="16">
        <v>46217.0</v>
      </c>
      <c r="F39" s="11" t="s">
        <v>23</v>
      </c>
      <c r="G39" s="18">
        <v>95.5</v>
      </c>
      <c r="H39" s="11">
        <v>10.04</v>
      </c>
      <c r="I39" s="11">
        <v>7.85</v>
      </c>
      <c r="J39" s="22"/>
    </row>
    <row r="40">
      <c r="A40" s="9" t="s">
        <v>271</v>
      </c>
      <c r="B40" s="11">
        <v>7.0</v>
      </c>
      <c r="C40" s="9" t="s">
        <v>36</v>
      </c>
      <c r="D40" s="11">
        <v>2.0</v>
      </c>
      <c r="E40" s="16">
        <v>46217.0</v>
      </c>
      <c r="F40" s="11" t="s">
        <v>23</v>
      </c>
      <c r="G40" s="18">
        <v>95.5</v>
      </c>
      <c r="H40" s="11">
        <v>10.04</v>
      </c>
      <c r="I40" s="11">
        <v>7.8</v>
      </c>
      <c r="J40" s="22"/>
    </row>
    <row r="41">
      <c r="A41" s="9" t="s">
        <v>274</v>
      </c>
      <c r="B41" s="11">
        <v>7.0</v>
      </c>
      <c r="C41" s="9" t="s">
        <v>36</v>
      </c>
      <c r="D41" s="11">
        <v>3.0</v>
      </c>
      <c r="E41" s="16">
        <v>46217.0</v>
      </c>
      <c r="F41" s="11" t="s">
        <v>23</v>
      </c>
      <c r="G41" s="18">
        <v>95.5</v>
      </c>
      <c r="H41" s="11">
        <v>10.04</v>
      </c>
      <c r="I41" s="11">
        <v>7.81</v>
      </c>
      <c r="J41" s="22"/>
    </row>
    <row r="42">
      <c r="A42" s="31" t="s">
        <v>278</v>
      </c>
      <c r="B42" s="32">
        <v>8.0</v>
      </c>
      <c r="C42" s="31" t="s">
        <v>19</v>
      </c>
      <c r="D42" s="32">
        <v>3.0</v>
      </c>
      <c r="E42" s="37">
        <v>46217.0</v>
      </c>
      <c r="F42" s="32" t="s">
        <v>23</v>
      </c>
      <c r="G42" s="38">
        <v>95.5</v>
      </c>
      <c r="H42" s="32">
        <v>10.03</v>
      </c>
      <c r="I42" s="32">
        <v>7.78</v>
      </c>
      <c r="J42" s="33"/>
    </row>
    <row r="43">
      <c r="A43" s="31" t="s">
        <v>281</v>
      </c>
      <c r="B43" s="32">
        <v>8.0</v>
      </c>
      <c r="C43" s="31" t="s">
        <v>36</v>
      </c>
      <c r="D43" s="32">
        <v>1.0</v>
      </c>
      <c r="E43" s="37">
        <v>46217.0</v>
      </c>
      <c r="F43" s="32" t="s">
        <v>23</v>
      </c>
      <c r="G43" s="38">
        <v>95.5</v>
      </c>
      <c r="H43" s="32">
        <v>10.03</v>
      </c>
      <c r="I43" s="32">
        <v>7.9</v>
      </c>
      <c r="J43" s="33"/>
    </row>
    <row r="44">
      <c r="A44" s="31" t="s">
        <v>283</v>
      </c>
      <c r="B44" s="32">
        <v>8.0</v>
      </c>
      <c r="C44" s="31" t="s">
        <v>36</v>
      </c>
      <c r="D44" s="32">
        <v>2.0</v>
      </c>
      <c r="E44" s="37">
        <v>46217.0</v>
      </c>
      <c r="F44" s="32" t="s">
        <v>23</v>
      </c>
      <c r="G44" s="38">
        <v>95.5</v>
      </c>
      <c r="H44" s="32">
        <v>10.03</v>
      </c>
      <c r="I44" s="32">
        <v>7.91</v>
      </c>
      <c r="J44" s="33"/>
    </row>
    <row r="45">
      <c r="A45" s="31" t="s">
        <v>286</v>
      </c>
      <c r="B45" s="32">
        <v>8.0</v>
      </c>
      <c r="C45" s="31" t="s">
        <v>36</v>
      </c>
      <c r="D45" s="32">
        <v>3.0</v>
      </c>
      <c r="E45" s="37">
        <v>46217.0</v>
      </c>
      <c r="F45" s="32" t="s">
        <v>23</v>
      </c>
      <c r="G45" s="38">
        <v>95.5</v>
      </c>
      <c r="H45" s="32">
        <v>10.03</v>
      </c>
      <c r="I45" s="32">
        <v>7.94</v>
      </c>
      <c r="J45" s="33"/>
    </row>
    <row r="46">
      <c r="A46" s="9" t="s">
        <v>290</v>
      </c>
      <c r="B46" s="11">
        <v>9.0</v>
      </c>
      <c r="C46" s="9" t="s">
        <v>36</v>
      </c>
      <c r="D46" s="11">
        <v>1.0</v>
      </c>
      <c r="E46" s="16">
        <v>46217.0</v>
      </c>
      <c r="F46" s="11" t="s">
        <v>23</v>
      </c>
      <c r="G46" s="18">
        <v>95.5</v>
      </c>
      <c r="H46" s="11">
        <v>10.03</v>
      </c>
      <c r="I46" s="11">
        <v>7.76</v>
      </c>
      <c r="J46" s="22"/>
    </row>
    <row r="47">
      <c r="A47" s="9" t="s">
        <v>292</v>
      </c>
      <c r="B47" s="11">
        <v>9.0</v>
      </c>
      <c r="C47" s="9" t="s">
        <v>36</v>
      </c>
      <c r="D47" s="11">
        <v>2.0</v>
      </c>
      <c r="E47" s="16">
        <v>46217.0</v>
      </c>
      <c r="F47" s="11" t="s">
        <v>23</v>
      </c>
      <c r="G47" s="18">
        <v>95.5</v>
      </c>
      <c r="H47" s="11">
        <v>10.03</v>
      </c>
      <c r="I47" s="11">
        <v>7.66</v>
      </c>
      <c r="J47" s="22"/>
    </row>
    <row r="48">
      <c r="A48" s="9" t="s">
        <v>296</v>
      </c>
      <c r="B48" s="11">
        <v>9.0</v>
      </c>
      <c r="C48" s="9" t="s">
        <v>36</v>
      </c>
      <c r="D48" s="11">
        <v>3.0</v>
      </c>
      <c r="E48" s="16">
        <v>46217.0</v>
      </c>
      <c r="F48" s="11" t="s">
        <v>23</v>
      </c>
      <c r="G48" s="18">
        <v>95.5</v>
      </c>
      <c r="H48" s="11">
        <v>10.03</v>
      </c>
      <c r="I48" s="11">
        <v>7.67</v>
      </c>
      <c r="J48" s="22"/>
    </row>
    <row r="49">
      <c r="A49" s="31" t="s">
        <v>300</v>
      </c>
      <c r="B49" s="32">
        <v>10.0</v>
      </c>
      <c r="C49" s="31" t="s">
        <v>19</v>
      </c>
      <c r="D49" s="32">
        <v>1.0</v>
      </c>
      <c r="E49" s="37">
        <v>46218.0</v>
      </c>
      <c r="F49" s="32" t="s">
        <v>23</v>
      </c>
      <c r="G49" s="38">
        <v>97.1</v>
      </c>
      <c r="H49" s="32">
        <v>10.06</v>
      </c>
      <c r="I49" s="32">
        <v>7.81</v>
      </c>
      <c r="J49" s="33"/>
    </row>
    <row r="50">
      <c r="A50" s="31" t="s">
        <v>303</v>
      </c>
      <c r="B50" s="32">
        <v>10.0</v>
      </c>
      <c r="C50" s="31" t="s">
        <v>36</v>
      </c>
      <c r="D50" s="32">
        <v>2.0</v>
      </c>
      <c r="E50" s="37">
        <v>46218.0</v>
      </c>
      <c r="F50" s="32" t="s">
        <v>23</v>
      </c>
      <c r="G50" s="38">
        <v>97.1</v>
      </c>
      <c r="H50" s="32">
        <v>10.06</v>
      </c>
      <c r="I50" s="32">
        <v>7.9</v>
      </c>
      <c r="J50" s="33"/>
    </row>
    <row r="51">
      <c r="A51" s="9" t="s">
        <v>306</v>
      </c>
      <c r="B51" s="11">
        <v>11.0</v>
      </c>
      <c r="C51" s="9" t="s">
        <v>28</v>
      </c>
      <c r="D51" s="11">
        <v>2.0</v>
      </c>
      <c r="E51" s="16">
        <v>46218.0</v>
      </c>
      <c r="F51" s="11" t="s">
        <v>23</v>
      </c>
      <c r="G51" s="18">
        <v>97.1</v>
      </c>
      <c r="H51" s="11">
        <v>10.06</v>
      </c>
      <c r="I51" s="18">
        <v>7.85</v>
      </c>
      <c r="J51" s="22"/>
    </row>
    <row r="52">
      <c r="A52" s="9" t="s">
        <v>309</v>
      </c>
      <c r="B52" s="11">
        <v>11.0</v>
      </c>
      <c r="C52" s="9" t="s">
        <v>19</v>
      </c>
      <c r="D52" s="11">
        <v>3.0</v>
      </c>
      <c r="E52" s="16">
        <v>46218.0</v>
      </c>
      <c r="F52" s="11" t="s">
        <v>23</v>
      </c>
      <c r="G52" s="18">
        <v>97.1</v>
      </c>
      <c r="H52" s="11">
        <v>10.06</v>
      </c>
      <c r="I52" s="18">
        <v>7.97</v>
      </c>
      <c r="J52" s="22"/>
    </row>
    <row r="53">
      <c r="A53" s="9" t="s">
        <v>312</v>
      </c>
      <c r="B53" s="11">
        <v>11.0</v>
      </c>
      <c r="C53" s="9" t="s">
        <v>36</v>
      </c>
      <c r="D53" s="11">
        <v>2.0</v>
      </c>
      <c r="E53" s="16">
        <v>46218.0</v>
      </c>
      <c r="F53" s="11" t="s">
        <v>23</v>
      </c>
      <c r="G53" s="18">
        <v>97.1</v>
      </c>
      <c r="H53" s="11">
        <v>10.06</v>
      </c>
      <c r="I53" s="11">
        <v>7.7</v>
      </c>
      <c r="J53" s="22"/>
    </row>
    <row r="54">
      <c r="A54" s="9" t="s">
        <v>316</v>
      </c>
      <c r="B54" s="11">
        <v>11.0</v>
      </c>
      <c r="C54" s="9" t="s">
        <v>36</v>
      </c>
      <c r="D54" s="11">
        <v>3.0</v>
      </c>
      <c r="E54" s="16">
        <v>46218.0</v>
      </c>
      <c r="F54" s="11" t="s">
        <v>23</v>
      </c>
      <c r="G54" s="18">
        <v>97.1</v>
      </c>
      <c r="H54" s="11">
        <v>10.06</v>
      </c>
      <c r="I54" s="11">
        <v>7.78</v>
      </c>
      <c r="J54" s="22"/>
    </row>
    <row r="55">
      <c r="A55" s="31" t="s">
        <v>319</v>
      </c>
      <c r="B55" s="32">
        <v>12.0</v>
      </c>
      <c r="C55" s="31" t="s">
        <v>28</v>
      </c>
      <c r="D55" s="32">
        <v>1.0</v>
      </c>
      <c r="E55" s="37">
        <v>46218.0</v>
      </c>
      <c r="F55" s="32" t="s">
        <v>23</v>
      </c>
      <c r="G55" s="38">
        <v>97.1</v>
      </c>
      <c r="H55" s="32">
        <v>10.06</v>
      </c>
      <c r="I55" s="32">
        <v>7.97</v>
      </c>
      <c r="J55" s="33"/>
    </row>
    <row r="56">
      <c r="A56" s="31" t="s">
        <v>322</v>
      </c>
      <c r="B56" s="32">
        <v>12.0</v>
      </c>
      <c r="C56" s="31" t="s">
        <v>28</v>
      </c>
      <c r="D56" s="32">
        <v>3.0</v>
      </c>
      <c r="E56" s="37">
        <v>46218.0</v>
      </c>
      <c r="F56" s="32" t="s">
        <v>23</v>
      </c>
      <c r="G56" s="38">
        <v>97.1</v>
      </c>
      <c r="H56" s="32">
        <v>10.06</v>
      </c>
      <c r="I56" s="32">
        <v>7.9</v>
      </c>
      <c r="J56" s="33"/>
    </row>
    <row r="57">
      <c r="A57" s="31" t="s">
        <v>326</v>
      </c>
      <c r="B57" s="32">
        <v>12.0</v>
      </c>
      <c r="C57" s="31" t="s">
        <v>19</v>
      </c>
      <c r="D57" s="32">
        <v>3.0</v>
      </c>
      <c r="E57" s="37">
        <v>46218.0</v>
      </c>
      <c r="F57" s="32" t="s">
        <v>23</v>
      </c>
      <c r="G57" s="38">
        <v>97.1</v>
      </c>
      <c r="H57" s="32">
        <v>10.06</v>
      </c>
      <c r="I57" s="32">
        <v>7.94</v>
      </c>
      <c r="J57" s="33"/>
    </row>
    <row r="58">
      <c r="A58" s="31" t="s">
        <v>329</v>
      </c>
      <c r="B58" s="32">
        <v>12.0</v>
      </c>
      <c r="C58" s="31" t="s">
        <v>36</v>
      </c>
      <c r="D58" s="32">
        <v>1.0</v>
      </c>
      <c r="E58" s="37">
        <v>46218.0</v>
      </c>
      <c r="F58" s="32" t="s">
        <v>23</v>
      </c>
      <c r="G58" s="38">
        <v>97.1</v>
      </c>
      <c r="H58" s="32">
        <v>10.06</v>
      </c>
      <c r="I58" s="32">
        <v>8.02</v>
      </c>
      <c r="J58" s="33"/>
    </row>
    <row r="59">
      <c r="A59" s="31" t="s">
        <v>332</v>
      </c>
      <c r="B59" s="32">
        <v>12.0</v>
      </c>
      <c r="C59" s="31" t="s">
        <v>36</v>
      </c>
      <c r="D59" s="32">
        <v>2.0</v>
      </c>
      <c r="E59" s="37">
        <v>46218.0</v>
      </c>
      <c r="F59" s="32" t="s">
        <v>23</v>
      </c>
      <c r="G59" s="38">
        <v>97.1</v>
      </c>
      <c r="H59" s="32">
        <v>10.06</v>
      </c>
      <c r="I59" s="32">
        <v>8.0</v>
      </c>
      <c r="J59" s="33"/>
    </row>
    <row r="60">
      <c r="A60" s="31" t="s">
        <v>335</v>
      </c>
      <c r="B60" s="32">
        <v>12.0</v>
      </c>
      <c r="C60" s="31" t="s">
        <v>36</v>
      </c>
      <c r="D60" s="32">
        <v>3.0</v>
      </c>
      <c r="E60" s="37">
        <v>46218.0</v>
      </c>
      <c r="F60" s="32" t="s">
        <v>23</v>
      </c>
      <c r="G60" s="38">
        <v>97.1</v>
      </c>
      <c r="H60" s="32">
        <v>10.06</v>
      </c>
      <c r="I60" s="32">
        <v>7.98</v>
      </c>
      <c r="J60" s="33"/>
    </row>
    <row r="61">
      <c r="A61" s="9" t="s">
        <v>339</v>
      </c>
      <c r="B61" s="11">
        <v>13.0</v>
      </c>
      <c r="C61" s="9" t="s">
        <v>28</v>
      </c>
      <c r="D61" s="11">
        <v>3.0</v>
      </c>
      <c r="E61" s="16">
        <v>46218.0</v>
      </c>
      <c r="F61" s="11" t="s">
        <v>23</v>
      </c>
      <c r="G61" s="18">
        <v>97.1</v>
      </c>
      <c r="H61" s="11">
        <v>10.06</v>
      </c>
      <c r="I61" s="11">
        <v>7.85</v>
      </c>
      <c r="J61" s="22"/>
    </row>
    <row r="62">
      <c r="A62" s="9" t="s">
        <v>342</v>
      </c>
      <c r="B62" s="11">
        <v>13.0</v>
      </c>
      <c r="C62" s="9" t="s">
        <v>36</v>
      </c>
      <c r="D62" s="11">
        <v>1.0</v>
      </c>
      <c r="E62" s="16">
        <v>46218.0</v>
      </c>
      <c r="F62" s="11" t="s">
        <v>23</v>
      </c>
      <c r="G62" s="18">
        <v>97.1</v>
      </c>
      <c r="H62" s="11">
        <v>10.06</v>
      </c>
      <c r="I62" s="11">
        <v>7.88</v>
      </c>
      <c r="J62" s="22"/>
    </row>
    <row r="63">
      <c r="A63" s="9" t="s">
        <v>344</v>
      </c>
      <c r="B63" s="11">
        <v>13.0</v>
      </c>
      <c r="C63" s="9" t="s">
        <v>36</v>
      </c>
      <c r="D63" s="11">
        <v>2.0</v>
      </c>
      <c r="E63" s="16">
        <v>46218.0</v>
      </c>
      <c r="F63" s="11" t="s">
        <v>23</v>
      </c>
      <c r="G63" s="18">
        <v>97.1</v>
      </c>
      <c r="H63" s="11">
        <v>10.06</v>
      </c>
      <c r="I63" s="11">
        <v>7.83</v>
      </c>
      <c r="J63" s="22"/>
    </row>
    <row r="64">
      <c r="A64" s="31" t="s">
        <v>348</v>
      </c>
      <c r="B64" s="32">
        <v>14.0</v>
      </c>
      <c r="C64" s="31" t="s">
        <v>28</v>
      </c>
      <c r="D64" s="32">
        <v>1.0</v>
      </c>
      <c r="E64" s="37">
        <v>46218.0</v>
      </c>
      <c r="F64" s="32" t="s">
        <v>23</v>
      </c>
      <c r="G64" s="38">
        <v>97.1</v>
      </c>
      <c r="H64" s="32">
        <v>10.06</v>
      </c>
      <c r="I64" s="32">
        <v>8.09</v>
      </c>
      <c r="J64" s="33"/>
    </row>
    <row r="65">
      <c r="A65" s="31" t="s">
        <v>351</v>
      </c>
      <c r="B65" s="32">
        <v>14.0</v>
      </c>
      <c r="C65" s="31" t="s">
        <v>19</v>
      </c>
      <c r="D65" s="32">
        <v>3.0</v>
      </c>
      <c r="E65" s="37">
        <v>46218.0</v>
      </c>
      <c r="F65" s="32" t="s">
        <v>23</v>
      </c>
      <c r="G65" s="38">
        <v>97.1</v>
      </c>
      <c r="H65" s="32">
        <v>10.06</v>
      </c>
      <c r="I65" s="32">
        <v>8.1</v>
      </c>
      <c r="J65" s="33"/>
    </row>
    <row r="66">
      <c r="A66" s="31" t="s">
        <v>354</v>
      </c>
      <c r="B66" s="32">
        <v>14.0</v>
      </c>
      <c r="C66" s="31" t="s">
        <v>36</v>
      </c>
      <c r="D66" s="32">
        <v>1.0</v>
      </c>
      <c r="E66" s="37">
        <v>46218.0</v>
      </c>
      <c r="F66" s="32" t="s">
        <v>23</v>
      </c>
      <c r="G66" s="38">
        <v>97.1</v>
      </c>
      <c r="H66" s="32">
        <v>10.06</v>
      </c>
      <c r="I66" s="32">
        <v>8.29</v>
      </c>
      <c r="J66" s="33"/>
    </row>
    <row r="67">
      <c r="A67" s="31" t="s">
        <v>357</v>
      </c>
      <c r="B67" s="32">
        <v>14.0</v>
      </c>
      <c r="C67" s="31" t="s">
        <v>36</v>
      </c>
      <c r="D67" s="32">
        <v>2.0</v>
      </c>
      <c r="E67" s="37">
        <v>46218.0</v>
      </c>
      <c r="F67" s="32" t="s">
        <v>23</v>
      </c>
      <c r="G67" s="38">
        <v>97.1</v>
      </c>
      <c r="H67" s="32">
        <v>10.06</v>
      </c>
      <c r="I67" s="32">
        <v>8.26</v>
      </c>
      <c r="J67" s="33"/>
    </row>
    <row r="68">
      <c r="A68" s="31" t="s">
        <v>361</v>
      </c>
      <c r="B68" s="32">
        <v>14.0</v>
      </c>
      <c r="C68" s="31" t="s">
        <v>36</v>
      </c>
      <c r="D68" s="32">
        <v>3.0</v>
      </c>
      <c r="E68" s="37">
        <v>46218.0</v>
      </c>
      <c r="F68" s="32" t="s">
        <v>23</v>
      </c>
      <c r="G68" s="38">
        <v>97.1</v>
      </c>
      <c r="H68" s="32">
        <v>10.06</v>
      </c>
      <c r="I68" s="32">
        <v>8.12</v>
      </c>
      <c r="J68" s="33"/>
    </row>
    <row r="69">
      <c r="A69" s="9" t="s">
        <v>365</v>
      </c>
      <c r="B69" s="11">
        <v>15.0</v>
      </c>
      <c r="C69" s="9" t="s">
        <v>28</v>
      </c>
      <c r="D69" s="11">
        <v>1.0</v>
      </c>
      <c r="E69" s="16">
        <v>46218.0</v>
      </c>
      <c r="F69" s="11" t="s">
        <v>23</v>
      </c>
      <c r="G69" s="18">
        <v>97.1</v>
      </c>
      <c r="H69" s="11">
        <v>10.06</v>
      </c>
      <c r="I69" s="11">
        <v>7.83</v>
      </c>
      <c r="J69" s="22"/>
    </row>
    <row r="70">
      <c r="A70" s="9" t="s">
        <v>368</v>
      </c>
      <c r="B70" s="11">
        <v>15.0</v>
      </c>
      <c r="C70" s="9" t="s">
        <v>28</v>
      </c>
      <c r="D70" s="11">
        <v>2.0</v>
      </c>
      <c r="E70" s="16">
        <v>46218.0</v>
      </c>
      <c r="F70" s="11" t="s">
        <v>23</v>
      </c>
      <c r="G70" s="18">
        <v>97.1</v>
      </c>
      <c r="H70" s="11">
        <v>10.06</v>
      </c>
      <c r="I70" s="11">
        <v>7.79</v>
      </c>
      <c r="J70" s="22"/>
    </row>
    <row r="71">
      <c r="A71" s="9" t="s">
        <v>371</v>
      </c>
      <c r="B71" s="11">
        <v>15.0</v>
      </c>
      <c r="C71" s="9" t="s">
        <v>19</v>
      </c>
      <c r="D71" s="11">
        <v>1.0</v>
      </c>
      <c r="E71" s="16">
        <v>46218.0</v>
      </c>
      <c r="F71" s="11" t="s">
        <v>23</v>
      </c>
      <c r="G71" s="18">
        <v>97.1</v>
      </c>
      <c r="H71" s="11">
        <v>10.06</v>
      </c>
      <c r="I71" s="11">
        <v>7.88</v>
      </c>
      <c r="J71" s="22"/>
    </row>
    <row r="72">
      <c r="A72" s="9" t="s">
        <v>374</v>
      </c>
      <c r="B72" s="11">
        <v>15.0</v>
      </c>
      <c r="C72" s="9" t="s">
        <v>19</v>
      </c>
      <c r="D72" s="11">
        <v>2.0</v>
      </c>
      <c r="E72" s="16">
        <v>46218.0</v>
      </c>
      <c r="F72" s="11" t="s">
        <v>23</v>
      </c>
      <c r="G72" s="18">
        <v>97.1</v>
      </c>
      <c r="H72" s="11">
        <v>10.06</v>
      </c>
      <c r="I72" s="11">
        <v>7.9</v>
      </c>
      <c r="J72" s="22"/>
    </row>
    <row r="73">
      <c r="A73" s="9" t="s">
        <v>380</v>
      </c>
      <c r="B73" s="11">
        <v>15.0</v>
      </c>
      <c r="C73" s="9" t="s">
        <v>19</v>
      </c>
      <c r="D73" s="11">
        <v>3.0</v>
      </c>
      <c r="E73" s="16">
        <v>46218.0</v>
      </c>
      <c r="F73" s="11" t="s">
        <v>23</v>
      </c>
      <c r="G73" s="18">
        <v>97.1</v>
      </c>
      <c r="H73" s="11">
        <v>10.06</v>
      </c>
      <c r="I73" s="11">
        <v>7.86</v>
      </c>
      <c r="J73" s="22"/>
    </row>
    <row r="74">
      <c r="A74" s="9" t="s">
        <v>384</v>
      </c>
      <c r="B74" s="11">
        <v>15.0</v>
      </c>
      <c r="C74" s="9" t="s">
        <v>36</v>
      </c>
      <c r="D74" s="11">
        <v>1.0</v>
      </c>
      <c r="E74" s="16">
        <v>46218.0</v>
      </c>
      <c r="F74" s="11" t="s">
        <v>23</v>
      </c>
      <c r="G74" s="18">
        <v>97.1</v>
      </c>
      <c r="H74" s="11">
        <v>10.06</v>
      </c>
      <c r="I74" s="11">
        <v>8.09</v>
      </c>
      <c r="J74" s="22"/>
    </row>
    <row r="75">
      <c r="A75" s="9" t="s">
        <v>388</v>
      </c>
      <c r="B75" s="11">
        <v>15.0</v>
      </c>
      <c r="C75" s="9" t="s">
        <v>36</v>
      </c>
      <c r="D75" s="11">
        <v>2.0</v>
      </c>
      <c r="E75" s="16">
        <v>46218.0</v>
      </c>
      <c r="F75" s="11" t="s">
        <v>23</v>
      </c>
      <c r="G75" s="18">
        <v>97.1</v>
      </c>
      <c r="H75" s="11">
        <v>10.06</v>
      </c>
      <c r="I75" s="11">
        <v>8.14</v>
      </c>
      <c r="J75" s="22"/>
    </row>
    <row r="76">
      <c r="A76" s="9" t="s">
        <v>390</v>
      </c>
      <c r="B76" s="11">
        <v>15.0</v>
      </c>
      <c r="C76" s="9" t="s">
        <v>36</v>
      </c>
      <c r="D76" s="11">
        <v>3.0</v>
      </c>
      <c r="E76" s="16">
        <v>46218.0</v>
      </c>
      <c r="F76" s="11" t="s">
        <v>23</v>
      </c>
      <c r="G76" s="18">
        <v>97.1</v>
      </c>
      <c r="H76" s="11">
        <v>10.06</v>
      </c>
      <c r="I76" s="11">
        <v>7.99</v>
      </c>
      <c r="J76" s="22"/>
    </row>
    <row r="77">
      <c r="A77" s="31" t="s">
        <v>394</v>
      </c>
      <c r="B77" s="32">
        <v>16.0</v>
      </c>
      <c r="C77" s="31" t="s">
        <v>28</v>
      </c>
      <c r="D77" s="32">
        <v>1.0</v>
      </c>
      <c r="E77" s="37">
        <v>46218.0</v>
      </c>
      <c r="F77" s="32" t="s">
        <v>23</v>
      </c>
      <c r="G77" s="38">
        <v>97.1</v>
      </c>
      <c r="H77" s="32">
        <v>10.06</v>
      </c>
      <c r="I77" s="32">
        <v>8.03</v>
      </c>
      <c r="J77" s="50" t="s">
        <v>397</v>
      </c>
    </row>
    <row r="78">
      <c r="A78" s="31" t="s">
        <v>399</v>
      </c>
      <c r="B78" s="32">
        <v>16.0</v>
      </c>
      <c r="C78" s="31" t="s">
        <v>19</v>
      </c>
      <c r="D78" s="32">
        <v>1.0</v>
      </c>
      <c r="E78" s="37">
        <v>46218.0</v>
      </c>
      <c r="F78" s="32" t="s">
        <v>23</v>
      </c>
      <c r="G78" s="38">
        <v>97.1</v>
      </c>
      <c r="H78" s="32">
        <v>10.06</v>
      </c>
      <c r="I78" s="32">
        <v>8.07</v>
      </c>
      <c r="J78" s="50" t="s">
        <v>397</v>
      </c>
    </row>
    <row r="79">
      <c r="A79" s="31" t="s">
        <v>404</v>
      </c>
      <c r="B79" s="32">
        <v>16.0</v>
      </c>
      <c r="C79" s="31" t="s">
        <v>19</v>
      </c>
      <c r="D79" s="32">
        <v>3.0</v>
      </c>
      <c r="E79" s="37">
        <v>46218.0</v>
      </c>
      <c r="F79" s="32" t="s">
        <v>23</v>
      </c>
      <c r="G79" s="38">
        <v>97.1</v>
      </c>
      <c r="H79" s="32">
        <v>10.06</v>
      </c>
      <c r="I79" s="32">
        <v>8.06</v>
      </c>
      <c r="J79" s="33"/>
    </row>
    <row r="80">
      <c r="A80" s="31" t="s">
        <v>406</v>
      </c>
      <c r="B80" s="32">
        <v>16.0</v>
      </c>
      <c r="C80" s="31" t="s">
        <v>36</v>
      </c>
      <c r="D80" s="32">
        <v>1.0</v>
      </c>
      <c r="E80" s="37">
        <v>46218.0</v>
      </c>
      <c r="F80" s="32" t="s">
        <v>23</v>
      </c>
      <c r="G80" s="38">
        <v>97.1</v>
      </c>
      <c r="H80" s="32">
        <v>10.06</v>
      </c>
      <c r="I80" s="32">
        <v>8.26</v>
      </c>
      <c r="J80" s="33"/>
    </row>
    <row r="81">
      <c r="A81" s="31" t="s">
        <v>410</v>
      </c>
      <c r="B81" s="32">
        <v>16.0</v>
      </c>
      <c r="C81" s="31" t="s">
        <v>36</v>
      </c>
      <c r="D81" s="32">
        <v>2.0</v>
      </c>
      <c r="E81" s="37">
        <v>46218.0</v>
      </c>
      <c r="F81" s="32" t="s">
        <v>23</v>
      </c>
      <c r="G81" s="38">
        <v>97.1</v>
      </c>
      <c r="H81" s="32">
        <v>10.06</v>
      </c>
      <c r="I81" s="32">
        <v>8.28</v>
      </c>
      <c r="J81" s="33"/>
    </row>
    <row r="82">
      <c r="A82" s="31" t="s">
        <v>414</v>
      </c>
      <c r="B82" s="32">
        <v>16.0</v>
      </c>
      <c r="C82" s="31" t="s">
        <v>36</v>
      </c>
      <c r="D82" s="32">
        <v>3.0</v>
      </c>
      <c r="E82" s="37">
        <v>46218.0</v>
      </c>
      <c r="F82" s="32" t="s">
        <v>23</v>
      </c>
      <c r="G82" s="38">
        <v>97.1</v>
      </c>
      <c r="H82" s="32">
        <v>10.06</v>
      </c>
      <c r="I82" s="32">
        <v>8.2</v>
      </c>
      <c r="J82" s="33"/>
    </row>
    <row r="83">
      <c r="A83" s="9" t="s">
        <v>419</v>
      </c>
      <c r="B83" s="11">
        <v>17.0</v>
      </c>
      <c r="C83" s="9" t="s">
        <v>19</v>
      </c>
      <c r="D83" s="11">
        <v>1.0</v>
      </c>
      <c r="E83" s="16">
        <v>46218.0</v>
      </c>
      <c r="F83" s="11" t="s">
        <v>23</v>
      </c>
      <c r="G83" s="18">
        <v>97.1</v>
      </c>
      <c r="H83" s="11">
        <v>10.06</v>
      </c>
      <c r="I83" s="11">
        <v>8.06</v>
      </c>
      <c r="J83" s="22"/>
    </row>
    <row r="84">
      <c r="A84" s="9" t="s">
        <v>425</v>
      </c>
      <c r="B84" s="11">
        <v>17.0</v>
      </c>
      <c r="C84" s="9" t="s">
        <v>19</v>
      </c>
      <c r="D84" s="11">
        <v>2.0</v>
      </c>
      <c r="E84" s="16">
        <v>46218.0</v>
      </c>
      <c r="F84" s="11" t="s">
        <v>23</v>
      </c>
      <c r="G84" s="18">
        <v>97.1</v>
      </c>
      <c r="H84" s="11">
        <v>10.06</v>
      </c>
      <c r="I84" s="11">
        <v>8.05</v>
      </c>
      <c r="J84" s="22"/>
    </row>
    <row r="85">
      <c r="A85" s="9" t="s">
        <v>431</v>
      </c>
      <c r="B85" s="11">
        <v>17.0</v>
      </c>
      <c r="C85" s="9" t="s">
        <v>36</v>
      </c>
      <c r="D85" s="11">
        <v>1.0</v>
      </c>
      <c r="E85" s="16">
        <v>46218.0</v>
      </c>
      <c r="F85" s="11" t="s">
        <v>23</v>
      </c>
      <c r="G85" s="18">
        <v>97.1</v>
      </c>
      <c r="H85" s="11">
        <v>10.06</v>
      </c>
      <c r="I85" s="11">
        <v>7.85</v>
      </c>
      <c r="J85" s="22"/>
    </row>
    <row r="86">
      <c r="A86" s="9" t="s">
        <v>437</v>
      </c>
      <c r="B86" s="11">
        <v>17.0</v>
      </c>
      <c r="C86" s="9" t="s">
        <v>36</v>
      </c>
      <c r="D86" s="11">
        <v>2.0</v>
      </c>
      <c r="E86" s="16">
        <v>46218.0</v>
      </c>
      <c r="F86" s="11" t="s">
        <v>23</v>
      </c>
      <c r="G86" s="18">
        <v>97.1</v>
      </c>
      <c r="H86" s="11">
        <v>10.06</v>
      </c>
      <c r="I86" s="11">
        <v>7.93</v>
      </c>
      <c r="J86" s="22"/>
    </row>
    <row r="87">
      <c r="A87" s="9" t="s">
        <v>443</v>
      </c>
      <c r="B87" s="11">
        <v>17.0</v>
      </c>
      <c r="C87" s="9" t="s">
        <v>36</v>
      </c>
      <c r="D87" s="11">
        <v>3.0</v>
      </c>
      <c r="E87" s="16">
        <v>46218.0</v>
      </c>
      <c r="F87" s="11" t="s">
        <v>23</v>
      </c>
      <c r="G87" s="18">
        <v>97.1</v>
      </c>
      <c r="H87" s="11">
        <v>10.06</v>
      </c>
      <c r="I87" s="11">
        <v>7.91</v>
      </c>
      <c r="J87" s="22"/>
    </row>
    <row r="88">
      <c r="A88" s="31" t="s">
        <v>446</v>
      </c>
      <c r="B88" s="32">
        <v>18.0</v>
      </c>
      <c r="C88" s="31" t="s">
        <v>36</v>
      </c>
      <c r="D88" s="32">
        <v>2.0</v>
      </c>
      <c r="E88" s="37">
        <v>46218.0</v>
      </c>
      <c r="F88" s="32" t="s">
        <v>23</v>
      </c>
      <c r="G88" s="38">
        <v>97.1</v>
      </c>
      <c r="H88" s="32">
        <v>10.06</v>
      </c>
      <c r="I88" s="32">
        <v>8.06</v>
      </c>
      <c r="J88" s="33"/>
    </row>
    <row r="89">
      <c r="A89" s="31" t="s">
        <v>450</v>
      </c>
      <c r="B89" s="32">
        <v>18.0</v>
      </c>
      <c r="C89" s="31" t="s">
        <v>36</v>
      </c>
      <c r="D89" s="32">
        <v>3.0</v>
      </c>
      <c r="E89" s="37">
        <v>46218.0</v>
      </c>
      <c r="F89" s="32" t="s">
        <v>23</v>
      </c>
      <c r="G89" s="38">
        <v>97.1</v>
      </c>
      <c r="H89" s="32">
        <v>10.06</v>
      </c>
      <c r="I89" s="32">
        <v>8.09</v>
      </c>
      <c r="J89" s="33"/>
    </row>
    <row r="90">
      <c r="A90" s="9" t="s">
        <v>454</v>
      </c>
      <c r="B90" s="11">
        <v>19.0</v>
      </c>
      <c r="C90" s="9" t="s">
        <v>28</v>
      </c>
      <c r="D90" s="11">
        <v>3.0</v>
      </c>
      <c r="E90" s="16">
        <v>46218.0</v>
      </c>
      <c r="F90" s="11" t="s">
        <v>23</v>
      </c>
      <c r="G90" s="18">
        <v>97.1</v>
      </c>
      <c r="H90" s="11">
        <v>10.06</v>
      </c>
      <c r="I90" s="11">
        <v>7.8</v>
      </c>
      <c r="J90" s="22"/>
    </row>
    <row r="91">
      <c r="A91" s="9" t="s">
        <v>462</v>
      </c>
      <c r="B91" s="11">
        <v>19.0</v>
      </c>
      <c r="C91" s="9" t="s">
        <v>19</v>
      </c>
      <c r="D91" s="11">
        <v>2.0</v>
      </c>
      <c r="E91" s="16">
        <v>46218.0</v>
      </c>
      <c r="F91" s="11" t="s">
        <v>23</v>
      </c>
      <c r="G91" s="18">
        <v>97.1</v>
      </c>
      <c r="H91" s="11">
        <v>10.06</v>
      </c>
      <c r="I91" s="11">
        <v>8.1</v>
      </c>
      <c r="J91" s="22"/>
    </row>
    <row r="92">
      <c r="A92" s="9" t="s">
        <v>465</v>
      </c>
      <c r="B92" s="11">
        <v>19.0</v>
      </c>
      <c r="C92" s="9" t="s">
        <v>19</v>
      </c>
      <c r="D92" s="11">
        <v>3.0</v>
      </c>
      <c r="E92" s="16">
        <v>46218.0</v>
      </c>
      <c r="F92" s="11" t="s">
        <v>23</v>
      </c>
      <c r="G92" s="18">
        <v>97.1</v>
      </c>
      <c r="H92" s="11">
        <v>10.06</v>
      </c>
      <c r="I92" s="11">
        <v>8.12</v>
      </c>
      <c r="J92" s="22"/>
    </row>
    <row r="93">
      <c r="A93" s="9" t="s">
        <v>468</v>
      </c>
      <c r="B93" s="11">
        <v>19.0</v>
      </c>
      <c r="C93" s="9" t="s">
        <v>36</v>
      </c>
      <c r="D93" s="11">
        <v>1.0</v>
      </c>
      <c r="E93" s="16">
        <v>46218.0</v>
      </c>
      <c r="F93" s="11" t="s">
        <v>23</v>
      </c>
      <c r="G93" s="18">
        <v>97.1</v>
      </c>
      <c r="H93" s="11">
        <v>10.06</v>
      </c>
      <c r="I93" s="11">
        <v>7.97</v>
      </c>
      <c r="J93" s="22"/>
    </row>
    <row r="94">
      <c r="A94" s="9" t="s">
        <v>472</v>
      </c>
      <c r="B94" s="11">
        <v>19.0</v>
      </c>
      <c r="C94" s="9" t="s">
        <v>36</v>
      </c>
      <c r="D94" s="11">
        <v>2.0</v>
      </c>
      <c r="E94" s="16">
        <v>46218.0</v>
      </c>
      <c r="F94" s="11" t="s">
        <v>23</v>
      </c>
      <c r="G94" s="18">
        <v>97.1</v>
      </c>
      <c r="H94" s="11">
        <v>10.06</v>
      </c>
      <c r="I94" s="11">
        <v>7.95</v>
      </c>
      <c r="J94" s="22"/>
    </row>
    <row r="95">
      <c r="A95" s="9" t="s">
        <v>474</v>
      </c>
      <c r="B95" s="11">
        <v>19.0</v>
      </c>
      <c r="C95" s="9" t="s">
        <v>36</v>
      </c>
      <c r="D95" s="11">
        <v>3.0</v>
      </c>
      <c r="E95" s="16">
        <v>46218.0</v>
      </c>
      <c r="F95" s="11" t="s">
        <v>23</v>
      </c>
      <c r="G95" s="18">
        <v>97.1</v>
      </c>
      <c r="H95" s="11">
        <v>10.06</v>
      </c>
      <c r="I95" s="11">
        <v>7.93</v>
      </c>
      <c r="J95" s="22"/>
    </row>
    <row r="96">
      <c r="A96" s="31" t="s">
        <v>476</v>
      </c>
      <c r="B96" s="32">
        <v>20.0</v>
      </c>
      <c r="C96" s="31" t="s">
        <v>28</v>
      </c>
      <c r="D96" s="32">
        <v>2.0</v>
      </c>
      <c r="E96" s="37">
        <v>46218.0</v>
      </c>
      <c r="F96" s="32" t="s">
        <v>23</v>
      </c>
      <c r="G96" s="38">
        <v>97.1</v>
      </c>
      <c r="H96" s="32">
        <v>10.06</v>
      </c>
      <c r="I96" s="32">
        <v>7.85</v>
      </c>
      <c r="J96" s="33"/>
    </row>
    <row r="97">
      <c r="A97" s="31" t="s">
        <v>479</v>
      </c>
      <c r="B97" s="32">
        <v>20.0</v>
      </c>
      <c r="C97" s="31" t="s">
        <v>36</v>
      </c>
      <c r="D97" s="32">
        <v>1.0</v>
      </c>
      <c r="E97" s="37">
        <v>46218.0</v>
      </c>
      <c r="F97" s="32" t="s">
        <v>23</v>
      </c>
      <c r="G97" s="38">
        <v>97.1</v>
      </c>
      <c r="H97" s="32">
        <v>10.06</v>
      </c>
      <c r="I97" s="32">
        <v>7.56</v>
      </c>
      <c r="J97" s="33"/>
    </row>
    <row r="98">
      <c r="A98" s="31" t="s">
        <v>481</v>
      </c>
      <c r="B98" s="32">
        <v>20.0</v>
      </c>
      <c r="C98" s="31" t="s">
        <v>36</v>
      </c>
      <c r="D98" s="32">
        <v>2.0</v>
      </c>
      <c r="E98" s="37">
        <v>46218.0</v>
      </c>
      <c r="F98" s="32" t="s">
        <v>23</v>
      </c>
      <c r="G98" s="38">
        <v>97.1</v>
      </c>
      <c r="H98" s="32">
        <v>10.06</v>
      </c>
      <c r="I98" s="32">
        <v>7.58</v>
      </c>
      <c r="J98" s="33"/>
    </row>
    <row r="99">
      <c r="A99" s="31" t="s">
        <v>484</v>
      </c>
      <c r="B99" s="32">
        <v>20.0</v>
      </c>
      <c r="C99" s="31" t="s">
        <v>36</v>
      </c>
      <c r="D99" s="32">
        <v>3.0</v>
      </c>
      <c r="E99" s="37">
        <v>46218.0</v>
      </c>
      <c r="F99" s="32" t="s">
        <v>23</v>
      </c>
      <c r="G99" s="38">
        <v>97.1</v>
      </c>
      <c r="H99" s="32">
        <v>10.06</v>
      </c>
      <c r="I99" s="32">
        <v>7.63</v>
      </c>
      <c r="J99" s="33"/>
    </row>
    <row r="100">
      <c r="A100" s="9" t="s">
        <v>486</v>
      </c>
      <c r="B100" s="11">
        <v>21.0</v>
      </c>
      <c r="C100" s="9" t="s">
        <v>28</v>
      </c>
      <c r="D100" s="11">
        <v>3.0</v>
      </c>
      <c r="E100" s="16">
        <v>46218.0</v>
      </c>
      <c r="F100" s="11" t="s">
        <v>23</v>
      </c>
      <c r="G100" s="18">
        <v>97.1</v>
      </c>
      <c r="H100" s="11">
        <v>10.06</v>
      </c>
      <c r="I100" s="11">
        <v>7.84</v>
      </c>
      <c r="J100" s="22"/>
    </row>
    <row r="101">
      <c r="A101" s="9" t="s">
        <v>490</v>
      </c>
      <c r="B101" s="11">
        <v>21.0</v>
      </c>
      <c r="C101" s="9" t="s">
        <v>19</v>
      </c>
      <c r="D101" s="11">
        <v>1.0</v>
      </c>
      <c r="E101" s="16">
        <v>46218.0</v>
      </c>
      <c r="F101" s="11" t="s">
        <v>23</v>
      </c>
      <c r="G101" s="18">
        <v>97.1</v>
      </c>
      <c r="H101" s="11">
        <v>10.06</v>
      </c>
      <c r="I101" s="11">
        <v>7.7</v>
      </c>
      <c r="J101" s="22"/>
    </row>
    <row r="102">
      <c r="A102" s="9" t="s">
        <v>493</v>
      </c>
      <c r="B102" s="11">
        <v>21.0</v>
      </c>
      <c r="C102" s="9" t="s">
        <v>19</v>
      </c>
      <c r="D102" s="11">
        <v>2.0</v>
      </c>
      <c r="E102" s="16">
        <v>46218.0</v>
      </c>
      <c r="F102" s="11" t="s">
        <v>23</v>
      </c>
      <c r="G102" s="18">
        <v>97.1</v>
      </c>
      <c r="H102" s="11">
        <v>10.06</v>
      </c>
      <c r="I102" s="11">
        <v>7.79</v>
      </c>
      <c r="J102" s="22"/>
    </row>
    <row r="103">
      <c r="A103" s="9" t="s">
        <v>497</v>
      </c>
      <c r="B103" s="11">
        <v>21.0</v>
      </c>
      <c r="C103" s="9" t="s">
        <v>36</v>
      </c>
      <c r="D103" s="11">
        <v>1.0</v>
      </c>
      <c r="E103" s="16">
        <v>46218.0</v>
      </c>
      <c r="F103" s="11" t="s">
        <v>23</v>
      </c>
      <c r="G103" s="18">
        <v>97.1</v>
      </c>
      <c r="H103" s="11">
        <v>10.06</v>
      </c>
      <c r="I103" s="11">
        <v>7.7</v>
      </c>
      <c r="J103" s="22"/>
    </row>
    <row r="104">
      <c r="A104" s="9" t="s">
        <v>500</v>
      </c>
      <c r="B104" s="11">
        <v>21.0</v>
      </c>
      <c r="C104" s="9" t="s">
        <v>36</v>
      </c>
      <c r="D104" s="11">
        <v>2.0</v>
      </c>
      <c r="E104" s="16">
        <v>46218.0</v>
      </c>
      <c r="F104" s="11" t="s">
        <v>23</v>
      </c>
      <c r="G104" s="18">
        <v>97.1</v>
      </c>
      <c r="H104" s="11">
        <v>10.06</v>
      </c>
      <c r="I104" s="11">
        <v>7.62</v>
      </c>
      <c r="J104" s="22"/>
    </row>
    <row r="105">
      <c r="A105" s="9" t="s">
        <v>502</v>
      </c>
      <c r="B105" s="11">
        <v>21.0</v>
      </c>
      <c r="C105" s="9" t="s">
        <v>36</v>
      </c>
      <c r="D105" s="11">
        <v>3.0</v>
      </c>
      <c r="E105" s="16">
        <v>46218.0</v>
      </c>
      <c r="F105" s="11" t="s">
        <v>23</v>
      </c>
      <c r="G105" s="18">
        <v>97.1</v>
      </c>
      <c r="H105" s="11">
        <v>10.06</v>
      </c>
      <c r="I105" s="11">
        <v>7.61</v>
      </c>
      <c r="J105" s="22"/>
    </row>
    <row r="106">
      <c r="A106" s="31" t="s">
        <v>505</v>
      </c>
      <c r="B106" s="32">
        <v>22.0</v>
      </c>
      <c r="C106" s="31" t="s">
        <v>36</v>
      </c>
      <c r="D106" s="32">
        <v>2.0</v>
      </c>
      <c r="E106" s="37">
        <v>46218.0</v>
      </c>
      <c r="F106" s="32" t="s">
        <v>23</v>
      </c>
      <c r="G106" s="38">
        <v>97.1</v>
      </c>
      <c r="H106" s="32">
        <v>10.06</v>
      </c>
      <c r="I106" s="32">
        <v>7.94</v>
      </c>
      <c r="J106" s="33"/>
    </row>
    <row r="107">
      <c r="A107" s="9" t="s">
        <v>508</v>
      </c>
      <c r="B107" s="11">
        <v>23.0</v>
      </c>
      <c r="C107" s="9" t="s">
        <v>19</v>
      </c>
      <c r="D107" s="11">
        <v>1.0</v>
      </c>
      <c r="E107" s="16">
        <v>46219.0</v>
      </c>
      <c r="F107" s="11" t="s">
        <v>23</v>
      </c>
      <c r="G107" s="11">
        <v>97.9</v>
      </c>
      <c r="H107" s="11">
        <v>10.06</v>
      </c>
      <c r="I107" s="11">
        <v>8.17</v>
      </c>
      <c r="J107" s="22"/>
    </row>
    <row r="108">
      <c r="A108" s="9" t="s">
        <v>511</v>
      </c>
      <c r="B108" s="11">
        <v>23.0</v>
      </c>
      <c r="C108" s="9" t="s">
        <v>36</v>
      </c>
      <c r="D108" s="11">
        <v>1.0</v>
      </c>
      <c r="E108" s="16">
        <v>46219.0</v>
      </c>
      <c r="F108" s="11" t="s">
        <v>23</v>
      </c>
      <c r="G108" s="11">
        <v>97.9</v>
      </c>
      <c r="H108" s="11">
        <v>10.06</v>
      </c>
      <c r="I108" s="11">
        <v>7.7</v>
      </c>
      <c r="J108" s="22"/>
    </row>
    <row r="109">
      <c r="A109" s="9" t="s">
        <v>514</v>
      </c>
      <c r="B109" s="11">
        <v>23.0</v>
      </c>
      <c r="C109" s="9" t="s">
        <v>36</v>
      </c>
      <c r="D109" s="11">
        <v>2.0</v>
      </c>
      <c r="E109" s="16">
        <v>46219.0</v>
      </c>
      <c r="F109" s="11" t="s">
        <v>23</v>
      </c>
      <c r="G109" s="11">
        <v>97.9</v>
      </c>
      <c r="H109" s="11">
        <v>10.06</v>
      </c>
      <c r="I109" s="11">
        <v>7.67</v>
      </c>
      <c r="J109" s="22"/>
    </row>
    <row r="110">
      <c r="A110" s="31" t="s">
        <v>516</v>
      </c>
      <c r="B110" s="32">
        <v>24.0</v>
      </c>
      <c r="C110" s="31" t="s">
        <v>19</v>
      </c>
      <c r="D110" s="32">
        <v>1.0</v>
      </c>
      <c r="E110" s="37">
        <v>46219.0</v>
      </c>
      <c r="F110" s="32" t="s">
        <v>23</v>
      </c>
      <c r="G110" s="32">
        <v>97.9</v>
      </c>
      <c r="H110" s="32">
        <v>10.06</v>
      </c>
      <c r="I110" s="32">
        <v>8.01</v>
      </c>
      <c r="J110" s="33"/>
    </row>
    <row r="111">
      <c r="A111" s="31" t="s">
        <v>520</v>
      </c>
      <c r="B111" s="32">
        <v>24.0</v>
      </c>
      <c r="C111" s="31" t="s">
        <v>36</v>
      </c>
      <c r="D111" s="32">
        <v>1.0</v>
      </c>
      <c r="E111" s="37">
        <v>46219.0</v>
      </c>
      <c r="F111" s="32" t="s">
        <v>23</v>
      </c>
      <c r="G111" s="32">
        <v>97.9</v>
      </c>
      <c r="H111" s="32">
        <v>10.06</v>
      </c>
      <c r="I111" s="32">
        <v>7.76</v>
      </c>
      <c r="J111" s="33"/>
    </row>
    <row r="112">
      <c r="A112" s="31" t="s">
        <v>522</v>
      </c>
      <c r="B112" s="32">
        <v>24.0</v>
      </c>
      <c r="C112" s="31" t="s">
        <v>36</v>
      </c>
      <c r="D112" s="32">
        <v>3.0</v>
      </c>
      <c r="E112" s="37">
        <v>46219.0</v>
      </c>
      <c r="F112" s="32" t="s">
        <v>23</v>
      </c>
      <c r="G112" s="32">
        <v>97.9</v>
      </c>
      <c r="H112" s="32">
        <v>10.06</v>
      </c>
      <c r="I112" s="32">
        <v>7.82</v>
      </c>
      <c r="J112" s="33"/>
    </row>
    <row r="113">
      <c r="A113" s="9" t="s">
        <v>526</v>
      </c>
      <c r="B113" s="11">
        <v>25.0</v>
      </c>
      <c r="C113" s="9" t="s">
        <v>28</v>
      </c>
      <c r="D113" s="11">
        <v>2.0</v>
      </c>
      <c r="E113" s="16">
        <v>46219.0</v>
      </c>
      <c r="F113" s="11" t="s">
        <v>23</v>
      </c>
      <c r="G113" s="11">
        <v>97.9</v>
      </c>
      <c r="H113" s="11">
        <v>10.06</v>
      </c>
      <c r="I113" s="11">
        <v>7.7</v>
      </c>
      <c r="J113" s="22"/>
    </row>
    <row r="114">
      <c r="A114" s="9" t="s">
        <v>528</v>
      </c>
      <c r="B114" s="11">
        <v>25.0</v>
      </c>
      <c r="C114" s="9" t="s">
        <v>28</v>
      </c>
      <c r="D114" s="11">
        <v>3.0</v>
      </c>
      <c r="E114" s="16">
        <v>46219.0</v>
      </c>
      <c r="F114" s="11" t="s">
        <v>23</v>
      </c>
      <c r="G114" s="11">
        <v>97.9</v>
      </c>
      <c r="H114" s="11">
        <v>10.06</v>
      </c>
      <c r="I114" s="11">
        <v>7.79</v>
      </c>
      <c r="J114" s="22"/>
    </row>
    <row r="115">
      <c r="A115" s="9" t="s">
        <v>532</v>
      </c>
      <c r="B115" s="11">
        <v>25.0</v>
      </c>
      <c r="C115" s="9" t="s">
        <v>19</v>
      </c>
      <c r="D115" s="11">
        <v>3.0</v>
      </c>
      <c r="E115" s="16">
        <v>46219.0</v>
      </c>
      <c r="F115" s="11" t="s">
        <v>23</v>
      </c>
      <c r="G115" s="11">
        <v>97.9</v>
      </c>
      <c r="H115" s="11">
        <v>10.06</v>
      </c>
      <c r="I115" s="11">
        <v>7.87</v>
      </c>
      <c r="J115" s="22"/>
    </row>
    <row r="116">
      <c r="A116" s="9" t="s">
        <v>535</v>
      </c>
      <c r="B116" s="11">
        <v>25.0</v>
      </c>
      <c r="C116" s="9" t="s">
        <v>36</v>
      </c>
      <c r="D116" s="11">
        <v>1.0</v>
      </c>
      <c r="E116" s="16">
        <v>46219.0</v>
      </c>
      <c r="F116" s="11" t="s">
        <v>23</v>
      </c>
      <c r="G116" s="11">
        <v>97.9</v>
      </c>
      <c r="H116" s="11">
        <v>10.06</v>
      </c>
      <c r="I116" s="11">
        <v>7.72</v>
      </c>
      <c r="J116" s="22"/>
    </row>
    <row r="117">
      <c r="A117" s="9" t="s">
        <v>539</v>
      </c>
      <c r="B117" s="11">
        <v>25.0</v>
      </c>
      <c r="C117" s="9" t="s">
        <v>36</v>
      </c>
      <c r="D117" s="11">
        <v>2.0</v>
      </c>
      <c r="E117" s="16">
        <v>46219.0</v>
      </c>
      <c r="F117" s="11" t="s">
        <v>23</v>
      </c>
      <c r="G117" s="11">
        <v>97.9</v>
      </c>
      <c r="H117" s="11">
        <v>10.06</v>
      </c>
      <c r="I117" s="11">
        <v>7.63</v>
      </c>
      <c r="J117" s="22"/>
    </row>
    <row r="118">
      <c r="A118" s="9" t="s">
        <v>543</v>
      </c>
      <c r="B118" s="11">
        <v>25.0</v>
      </c>
      <c r="C118" s="9" t="s">
        <v>36</v>
      </c>
      <c r="D118" s="11">
        <v>3.0</v>
      </c>
      <c r="E118" s="16">
        <v>46219.0</v>
      </c>
      <c r="F118" s="11" t="s">
        <v>23</v>
      </c>
      <c r="G118" s="11">
        <v>97.9</v>
      </c>
      <c r="H118" s="11">
        <v>10.06</v>
      </c>
      <c r="I118" s="11">
        <v>7.62</v>
      </c>
      <c r="J118" s="22"/>
    </row>
    <row r="119">
      <c r="A119" s="31" t="s">
        <v>546</v>
      </c>
      <c r="B119" s="32">
        <v>26.0</v>
      </c>
      <c r="C119" s="31" t="s">
        <v>28</v>
      </c>
      <c r="D119" s="32">
        <v>2.0</v>
      </c>
      <c r="E119" s="37">
        <v>46219.0</v>
      </c>
      <c r="F119" s="32" t="s">
        <v>23</v>
      </c>
      <c r="G119" s="32">
        <v>97.9</v>
      </c>
      <c r="H119" s="32">
        <v>10.06</v>
      </c>
      <c r="I119" s="32">
        <v>7.67</v>
      </c>
      <c r="J119" s="33"/>
    </row>
    <row r="120">
      <c r="A120" s="31" t="s">
        <v>547</v>
      </c>
      <c r="B120" s="32">
        <v>26.0</v>
      </c>
      <c r="C120" s="31" t="s">
        <v>19</v>
      </c>
      <c r="D120" s="32">
        <v>2.0</v>
      </c>
      <c r="E120" s="37">
        <v>46219.0</v>
      </c>
      <c r="F120" s="32" t="s">
        <v>23</v>
      </c>
      <c r="G120" s="32">
        <v>97.9</v>
      </c>
      <c r="H120" s="32">
        <v>10.06</v>
      </c>
      <c r="I120" s="32">
        <v>7.6</v>
      </c>
      <c r="J120" s="33"/>
    </row>
    <row r="121">
      <c r="A121" s="31" t="s">
        <v>551</v>
      </c>
      <c r="B121" s="32">
        <v>26.0</v>
      </c>
      <c r="C121" s="31" t="s">
        <v>19</v>
      </c>
      <c r="D121" s="32">
        <v>3.0</v>
      </c>
      <c r="E121" s="37">
        <v>46219.0</v>
      </c>
      <c r="F121" s="32" t="s">
        <v>23</v>
      </c>
      <c r="G121" s="32">
        <v>97.9</v>
      </c>
      <c r="H121" s="32">
        <v>10.06</v>
      </c>
      <c r="I121" s="32">
        <v>7.69</v>
      </c>
      <c r="J121" s="33"/>
    </row>
    <row r="122">
      <c r="A122" s="31" t="s">
        <v>553</v>
      </c>
      <c r="B122" s="32">
        <v>26.0</v>
      </c>
      <c r="C122" s="31" t="s">
        <v>36</v>
      </c>
      <c r="D122" s="32">
        <v>1.0</v>
      </c>
      <c r="E122" s="37">
        <v>46219.0</v>
      </c>
      <c r="F122" s="32" t="s">
        <v>23</v>
      </c>
      <c r="G122" s="32">
        <v>97.9</v>
      </c>
      <c r="H122" s="32">
        <v>10.06</v>
      </c>
      <c r="I122" s="32">
        <v>7.72</v>
      </c>
      <c r="J122" s="33"/>
    </row>
    <row r="123">
      <c r="A123" s="31" t="s">
        <v>557</v>
      </c>
      <c r="B123" s="32">
        <v>26.0</v>
      </c>
      <c r="C123" s="31" t="s">
        <v>36</v>
      </c>
      <c r="D123" s="32">
        <v>2.0</v>
      </c>
      <c r="E123" s="37">
        <v>46219.0</v>
      </c>
      <c r="F123" s="32" t="s">
        <v>23</v>
      </c>
      <c r="G123" s="32">
        <v>97.9</v>
      </c>
      <c r="H123" s="32">
        <v>10.06</v>
      </c>
      <c r="I123" s="32">
        <v>7.68</v>
      </c>
      <c r="J123" s="33"/>
    </row>
    <row r="124">
      <c r="A124" s="9" t="s">
        <v>560</v>
      </c>
      <c r="B124" s="11">
        <v>27.0</v>
      </c>
      <c r="C124" s="9" t="s">
        <v>19</v>
      </c>
      <c r="D124" s="11">
        <v>2.0</v>
      </c>
      <c r="E124" s="16">
        <v>46219.0</v>
      </c>
      <c r="F124" s="11" t="s">
        <v>23</v>
      </c>
      <c r="G124" s="11">
        <v>97.9</v>
      </c>
      <c r="H124" s="11">
        <v>10.06</v>
      </c>
      <c r="I124" s="11">
        <v>7.74</v>
      </c>
      <c r="J124" s="22"/>
    </row>
    <row r="125">
      <c r="A125" s="9" t="s">
        <v>563</v>
      </c>
      <c r="B125" s="11">
        <v>27.0</v>
      </c>
      <c r="C125" s="9" t="s">
        <v>19</v>
      </c>
      <c r="D125" s="11">
        <v>3.0</v>
      </c>
      <c r="E125" s="16">
        <v>46219.0</v>
      </c>
      <c r="F125" s="11" t="s">
        <v>23</v>
      </c>
      <c r="G125" s="11">
        <v>97.9</v>
      </c>
      <c r="H125" s="11">
        <v>10.06</v>
      </c>
      <c r="I125" s="11">
        <v>7.7</v>
      </c>
      <c r="J125" s="22"/>
    </row>
    <row r="126">
      <c r="A126" s="9" t="s">
        <v>566</v>
      </c>
      <c r="B126" s="11">
        <v>27.0</v>
      </c>
      <c r="C126" s="9" t="s">
        <v>36</v>
      </c>
      <c r="D126" s="11">
        <v>1.0</v>
      </c>
      <c r="E126" s="16">
        <v>46219.0</v>
      </c>
      <c r="F126" s="11" t="s">
        <v>23</v>
      </c>
      <c r="G126" s="11">
        <v>97.9</v>
      </c>
      <c r="H126" s="11">
        <v>10.06</v>
      </c>
      <c r="I126" s="11">
        <v>7.7</v>
      </c>
      <c r="J126" s="22"/>
    </row>
    <row r="127">
      <c r="A127" s="9" t="s">
        <v>570</v>
      </c>
      <c r="B127" s="11">
        <v>27.0</v>
      </c>
      <c r="C127" s="9" t="s">
        <v>36</v>
      </c>
      <c r="D127" s="11">
        <v>2.0</v>
      </c>
      <c r="E127" s="16">
        <v>46219.0</v>
      </c>
      <c r="F127" s="11" t="s">
        <v>23</v>
      </c>
      <c r="G127" s="11">
        <v>97.9</v>
      </c>
      <c r="H127" s="11">
        <v>10.06</v>
      </c>
      <c r="I127" s="11">
        <v>7.63</v>
      </c>
      <c r="J127" s="22"/>
    </row>
    <row r="128">
      <c r="A128" s="9" t="s">
        <v>573</v>
      </c>
      <c r="B128" s="11">
        <v>27.0</v>
      </c>
      <c r="C128" s="9" t="s">
        <v>36</v>
      </c>
      <c r="D128" s="11">
        <v>3.0</v>
      </c>
      <c r="E128" s="16">
        <v>46219.0</v>
      </c>
      <c r="F128" s="11" t="s">
        <v>23</v>
      </c>
      <c r="G128" s="11">
        <v>97.9</v>
      </c>
      <c r="H128" s="11">
        <v>10.06</v>
      </c>
      <c r="I128" s="11">
        <v>7.67</v>
      </c>
      <c r="J128" s="22"/>
    </row>
    <row r="129">
      <c r="A129" s="31" t="s">
        <v>575</v>
      </c>
      <c r="B129" s="32">
        <v>28.0</v>
      </c>
      <c r="C129" s="31" t="s">
        <v>19</v>
      </c>
      <c r="D129" s="32">
        <v>1.0</v>
      </c>
      <c r="E129" s="37">
        <v>46219.0</v>
      </c>
      <c r="F129" s="32" t="s">
        <v>23</v>
      </c>
      <c r="G129" s="32">
        <v>97.9</v>
      </c>
      <c r="H129" s="32">
        <v>10.06</v>
      </c>
      <c r="I129" s="32">
        <v>7.69</v>
      </c>
      <c r="J129" s="33"/>
    </row>
    <row r="130">
      <c r="A130" s="31" t="s">
        <v>579</v>
      </c>
      <c r="B130" s="32">
        <v>28.0</v>
      </c>
      <c r="C130" s="31" t="s">
        <v>19</v>
      </c>
      <c r="D130" s="32">
        <v>3.0</v>
      </c>
      <c r="E130" s="37">
        <v>46219.0</v>
      </c>
      <c r="F130" s="32" t="s">
        <v>23</v>
      </c>
      <c r="G130" s="32">
        <v>97.9</v>
      </c>
      <c r="H130" s="32">
        <v>10.06</v>
      </c>
      <c r="I130" s="32">
        <v>7.7</v>
      </c>
      <c r="J130" s="33"/>
    </row>
    <row r="131">
      <c r="A131" s="31" t="s">
        <v>582</v>
      </c>
      <c r="B131" s="32">
        <v>28.0</v>
      </c>
      <c r="C131" s="31" t="s">
        <v>36</v>
      </c>
      <c r="D131" s="32">
        <v>1.0</v>
      </c>
      <c r="E131" s="37">
        <v>46219.0</v>
      </c>
      <c r="F131" s="32" t="s">
        <v>23</v>
      </c>
      <c r="G131" s="32">
        <v>97.9</v>
      </c>
      <c r="H131" s="32">
        <v>10.06</v>
      </c>
      <c r="I131" s="32">
        <v>7.66</v>
      </c>
      <c r="J131" s="33"/>
    </row>
    <row r="132">
      <c r="A132" s="31" t="s">
        <v>586</v>
      </c>
      <c r="B132" s="32">
        <v>28.0</v>
      </c>
      <c r="C132" s="31" t="s">
        <v>36</v>
      </c>
      <c r="D132" s="32">
        <v>2.0</v>
      </c>
      <c r="E132" s="37">
        <v>46219.0</v>
      </c>
      <c r="F132" s="32" t="s">
        <v>23</v>
      </c>
      <c r="G132" s="32">
        <v>97.9</v>
      </c>
      <c r="H132" s="32">
        <v>10.06</v>
      </c>
      <c r="I132" s="32">
        <v>7.6</v>
      </c>
      <c r="J132" s="33"/>
    </row>
    <row r="133">
      <c r="A133" s="31" t="s">
        <v>587</v>
      </c>
      <c r="B133" s="32">
        <v>28.0</v>
      </c>
      <c r="C133" s="31" t="s">
        <v>36</v>
      </c>
      <c r="D133" s="32">
        <v>3.0</v>
      </c>
      <c r="E133" s="37">
        <v>46219.0</v>
      </c>
      <c r="F133" s="32" t="s">
        <v>23</v>
      </c>
      <c r="G133" s="32">
        <v>97.9</v>
      </c>
      <c r="H133" s="32">
        <v>10.06</v>
      </c>
      <c r="I133" s="32">
        <v>7.57</v>
      </c>
      <c r="J133" s="33"/>
    </row>
    <row r="134">
      <c r="A134" s="9" t="s">
        <v>591</v>
      </c>
      <c r="B134" s="11">
        <v>29.0</v>
      </c>
      <c r="C134" s="9" t="s">
        <v>36</v>
      </c>
      <c r="D134" s="11">
        <v>2.0</v>
      </c>
      <c r="E134" s="16">
        <v>46219.0</v>
      </c>
      <c r="F134" s="11" t="s">
        <v>23</v>
      </c>
      <c r="G134" s="11">
        <v>97.9</v>
      </c>
      <c r="H134" s="11">
        <v>10.06</v>
      </c>
      <c r="I134" s="11">
        <v>7.73</v>
      </c>
      <c r="J134" s="22"/>
    </row>
    <row r="135">
      <c r="A135" s="9" t="s">
        <v>594</v>
      </c>
      <c r="B135" s="11">
        <v>29.0</v>
      </c>
      <c r="C135" s="9" t="s">
        <v>36</v>
      </c>
      <c r="D135" s="11">
        <v>3.0</v>
      </c>
      <c r="E135" s="16">
        <v>46219.0</v>
      </c>
      <c r="F135" s="11" t="s">
        <v>23</v>
      </c>
      <c r="G135" s="11">
        <v>97.9</v>
      </c>
      <c r="H135" s="11">
        <v>10.06</v>
      </c>
      <c r="I135" s="11">
        <v>7.65</v>
      </c>
      <c r="J135" s="22"/>
    </row>
    <row r="136">
      <c r="A136" s="31" t="s">
        <v>596</v>
      </c>
      <c r="B136" s="32">
        <v>30.0</v>
      </c>
      <c r="C136" s="31" t="s">
        <v>28</v>
      </c>
      <c r="D136" s="32">
        <v>2.0</v>
      </c>
      <c r="E136" s="37">
        <v>46219.0</v>
      </c>
      <c r="F136" s="32" t="s">
        <v>23</v>
      </c>
      <c r="G136" s="32">
        <v>97.9</v>
      </c>
      <c r="H136" s="32">
        <v>10.06</v>
      </c>
      <c r="I136" s="32">
        <v>7.51</v>
      </c>
      <c r="J136" s="33"/>
    </row>
    <row r="137">
      <c r="A137" s="31" t="s">
        <v>599</v>
      </c>
      <c r="B137" s="32">
        <v>30.0</v>
      </c>
      <c r="C137" s="31" t="s">
        <v>36</v>
      </c>
      <c r="D137" s="32">
        <v>1.0</v>
      </c>
      <c r="E137" s="37">
        <v>46219.0</v>
      </c>
      <c r="F137" s="32" t="s">
        <v>23</v>
      </c>
      <c r="G137" s="32">
        <v>97.9</v>
      </c>
      <c r="H137" s="32">
        <v>10.06</v>
      </c>
      <c r="I137" s="32">
        <v>7.56</v>
      </c>
      <c r="J137" s="33"/>
    </row>
    <row r="138">
      <c r="A138" s="31" t="s">
        <v>603</v>
      </c>
      <c r="B138" s="32">
        <v>30.0</v>
      </c>
      <c r="C138" s="31" t="s">
        <v>36</v>
      </c>
      <c r="D138" s="32">
        <v>2.0</v>
      </c>
      <c r="E138" s="37">
        <v>46219.0</v>
      </c>
      <c r="F138" s="32" t="s">
        <v>23</v>
      </c>
      <c r="G138" s="32">
        <v>97.9</v>
      </c>
      <c r="H138" s="32">
        <v>10.06</v>
      </c>
      <c r="I138" s="32">
        <v>7.6</v>
      </c>
      <c r="J138" s="33"/>
    </row>
    <row r="139">
      <c r="A139" s="31" t="s">
        <v>605</v>
      </c>
      <c r="B139" s="32">
        <v>30.0</v>
      </c>
      <c r="C139" s="31" t="s">
        <v>36</v>
      </c>
      <c r="D139" s="32">
        <v>3.0</v>
      </c>
      <c r="E139" s="37">
        <v>46219.0</v>
      </c>
      <c r="F139" s="32" t="s">
        <v>23</v>
      </c>
      <c r="G139" s="32">
        <v>97.9</v>
      </c>
      <c r="H139" s="32">
        <v>10.06</v>
      </c>
      <c r="I139" s="32">
        <v>7.61</v>
      </c>
      <c r="J139" s="33"/>
    </row>
    <row r="140">
      <c r="A140" s="9" t="s">
        <v>607</v>
      </c>
      <c r="B140" s="11">
        <v>31.0</v>
      </c>
      <c r="C140" s="9" t="s">
        <v>19</v>
      </c>
      <c r="D140" s="11">
        <v>1.0</v>
      </c>
      <c r="E140" s="16">
        <v>46222.0</v>
      </c>
      <c r="F140" s="11" t="s">
        <v>23</v>
      </c>
      <c r="G140" s="11">
        <v>98.0</v>
      </c>
      <c r="H140" s="11">
        <v>10.06</v>
      </c>
      <c r="I140" s="11">
        <v>7.99</v>
      </c>
      <c r="J140" s="22"/>
    </row>
    <row r="141">
      <c r="A141" s="9" t="s">
        <v>611</v>
      </c>
      <c r="B141" s="11">
        <v>31.0</v>
      </c>
      <c r="C141" s="9" t="s">
        <v>19</v>
      </c>
      <c r="D141" s="11">
        <v>3.0</v>
      </c>
      <c r="E141" s="16">
        <v>46222.0</v>
      </c>
      <c r="F141" s="11" t="s">
        <v>23</v>
      </c>
      <c r="G141" s="11">
        <v>98.0</v>
      </c>
      <c r="H141" s="11">
        <v>10.06</v>
      </c>
      <c r="I141" s="11">
        <v>7.88</v>
      </c>
      <c r="J141" s="22"/>
    </row>
    <row r="142">
      <c r="A142" s="31" t="s">
        <v>614</v>
      </c>
      <c r="B142" s="32">
        <v>32.0</v>
      </c>
      <c r="C142" s="31" t="s">
        <v>36</v>
      </c>
      <c r="D142" s="32">
        <v>1.0</v>
      </c>
      <c r="E142" s="37">
        <v>46222.0</v>
      </c>
      <c r="F142" s="32" t="s">
        <v>23</v>
      </c>
      <c r="G142" s="32">
        <v>98.0</v>
      </c>
      <c r="H142" s="32">
        <v>10.06</v>
      </c>
      <c r="I142" s="32">
        <v>7.65</v>
      </c>
      <c r="J142" s="33"/>
    </row>
    <row r="143">
      <c r="A143" s="31" t="s">
        <v>617</v>
      </c>
      <c r="B143" s="32">
        <v>32.0</v>
      </c>
      <c r="C143" s="31" t="s">
        <v>36</v>
      </c>
      <c r="D143" s="32">
        <v>2.0</v>
      </c>
      <c r="E143" s="37">
        <v>46222.0</v>
      </c>
      <c r="F143" s="32" t="s">
        <v>23</v>
      </c>
      <c r="G143" s="32">
        <v>98.0</v>
      </c>
      <c r="H143" s="32">
        <v>10.06</v>
      </c>
      <c r="I143" s="32">
        <v>7.61</v>
      </c>
      <c r="J143" s="33"/>
    </row>
    <row r="144">
      <c r="A144" s="31" t="s">
        <v>620</v>
      </c>
      <c r="B144" s="32">
        <v>32.0</v>
      </c>
      <c r="C144" s="31" t="s">
        <v>36</v>
      </c>
      <c r="D144" s="32">
        <v>3.0</v>
      </c>
      <c r="E144" s="37">
        <v>46222.0</v>
      </c>
      <c r="F144" s="32" t="s">
        <v>23</v>
      </c>
      <c r="G144" s="32">
        <v>98.0</v>
      </c>
      <c r="H144" s="32">
        <v>10.06</v>
      </c>
      <c r="I144" s="32">
        <v>7.6</v>
      </c>
      <c r="J144" s="33"/>
    </row>
    <row r="145">
      <c r="A145" s="9" t="s">
        <v>622</v>
      </c>
      <c r="B145" s="11">
        <v>33.0</v>
      </c>
      <c r="C145" s="9" t="s">
        <v>36</v>
      </c>
      <c r="D145" s="11">
        <v>1.0</v>
      </c>
      <c r="E145" s="16">
        <v>46222.0</v>
      </c>
      <c r="F145" s="11" t="s">
        <v>23</v>
      </c>
      <c r="G145" s="11">
        <v>98.0</v>
      </c>
      <c r="H145" s="11">
        <v>10.06</v>
      </c>
      <c r="I145" s="11">
        <v>8.06</v>
      </c>
      <c r="J145" s="22"/>
    </row>
    <row r="146">
      <c r="A146" s="9" t="s">
        <v>625</v>
      </c>
      <c r="B146" s="11">
        <v>33.0</v>
      </c>
      <c r="C146" s="9" t="s">
        <v>36</v>
      </c>
      <c r="D146" s="11">
        <v>2.0</v>
      </c>
      <c r="E146" s="16">
        <v>46222.0</v>
      </c>
      <c r="F146" s="11" t="s">
        <v>23</v>
      </c>
      <c r="G146" s="11">
        <v>98.0</v>
      </c>
      <c r="H146" s="11">
        <v>10.06</v>
      </c>
      <c r="I146" s="11">
        <v>7.98</v>
      </c>
      <c r="J146" s="22"/>
    </row>
    <row r="147">
      <c r="A147" s="9" t="s">
        <v>629</v>
      </c>
      <c r="B147" s="11">
        <v>33.0</v>
      </c>
      <c r="C147" s="9" t="s">
        <v>36</v>
      </c>
      <c r="D147" s="11">
        <v>3.0</v>
      </c>
      <c r="E147" s="16">
        <v>46222.0</v>
      </c>
      <c r="F147" s="11" t="s">
        <v>23</v>
      </c>
      <c r="G147" s="11">
        <v>98.0</v>
      </c>
      <c r="H147" s="11">
        <v>10.06</v>
      </c>
      <c r="I147" s="11">
        <v>8.0</v>
      </c>
      <c r="J147" s="22"/>
    </row>
    <row r="148">
      <c r="A148" s="31" t="s">
        <v>630</v>
      </c>
      <c r="B148" s="32">
        <v>34.0</v>
      </c>
      <c r="C148" s="31" t="s">
        <v>19</v>
      </c>
      <c r="D148" s="32">
        <v>2.0</v>
      </c>
      <c r="E148" s="37">
        <v>46222.0</v>
      </c>
      <c r="F148" s="32" t="s">
        <v>23</v>
      </c>
      <c r="G148" s="32">
        <v>98.0</v>
      </c>
      <c r="H148" s="32">
        <v>10.06</v>
      </c>
      <c r="I148" s="32">
        <v>8.01</v>
      </c>
      <c r="J148" s="33"/>
    </row>
    <row r="149">
      <c r="A149" s="31" t="s">
        <v>633</v>
      </c>
      <c r="B149" s="32">
        <v>34.0</v>
      </c>
      <c r="C149" s="31" t="s">
        <v>36</v>
      </c>
      <c r="D149" s="32">
        <v>1.0</v>
      </c>
      <c r="E149" s="37">
        <v>46222.0</v>
      </c>
      <c r="F149" s="32" t="s">
        <v>23</v>
      </c>
      <c r="G149" s="32">
        <v>98.0</v>
      </c>
      <c r="H149" s="32">
        <v>10.06</v>
      </c>
      <c r="I149" s="32">
        <v>8.07</v>
      </c>
      <c r="J149" s="33"/>
    </row>
    <row r="150">
      <c r="A150" s="31" t="s">
        <v>637</v>
      </c>
      <c r="B150" s="32">
        <v>34.0</v>
      </c>
      <c r="C150" s="31" t="s">
        <v>36</v>
      </c>
      <c r="D150" s="32">
        <v>2.0</v>
      </c>
      <c r="E150" s="37">
        <v>46222.0</v>
      </c>
      <c r="F150" s="32" t="s">
        <v>23</v>
      </c>
      <c r="G150" s="32">
        <v>98.0</v>
      </c>
      <c r="H150" s="32">
        <v>10.06</v>
      </c>
      <c r="I150" s="32">
        <v>8.09</v>
      </c>
      <c r="J150" s="33"/>
    </row>
    <row r="151">
      <c r="A151" s="31" t="s">
        <v>639</v>
      </c>
      <c r="B151" s="32">
        <v>34.0</v>
      </c>
      <c r="C151" s="31" t="s">
        <v>36</v>
      </c>
      <c r="D151" s="32">
        <v>3.0</v>
      </c>
      <c r="E151" s="37">
        <v>46222.0</v>
      </c>
      <c r="F151" s="32" t="s">
        <v>23</v>
      </c>
      <c r="G151" s="32">
        <v>98.0</v>
      </c>
      <c r="H151" s="32">
        <v>10.06</v>
      </c>
      <c r="I151" s="32">
        <v>8.11</v>
      </c>
      <c r="J151" s="33"/>
    </row>
    <row r="152">
      <c r="A152" s="9" t="s">
        <v>642</v>
      </c>
      <c r="B152" s="11">
        <v>35.0</v>
      </c>
      <c r="C152" s="9" t="s">
        <v>19</v>
      </c>
      <c r="D152" s="11">
        <v>1.0</v>
      </c>
      <c r="E152" s="16">
        <v>46222.0</v>
      </c>
      <c r="F152" s="11" t="s">
        <v>23</v>
      </c>
      <c r="G152" s="11">
        <v>98.0</v>
      </c>
      <c r="H152" s="11">
        <v>10.06</v>
      </c>
      <c r="I152" s="11">
        <v>8.1</v>
      </c>
      <c r="J152" s="22"/>
    </row>
    <row r="153">
      <c r="A153" s="9" t="s">
        <v>645</v>
      </c>
      <c r="B153" s="11">
        <v>35.0</v>
      </c>
      <c r="C153" s="9" t="s">
        <v>36</v>
      </c>
      <c r="D153" s="11">
        <v>1.0</v>
      </c>
      <c r="E153" s="16">
        <v>46222.0</v>
      </c>
      <c r="F153" s="11" t="s">
        <v>23</v>
      </c>
      <c r="G153" s="11">
        <v>98.0</v>
      </c>
      <c r="H153" s="11">
        <v>10.06</v>
      </c>
      <c r="I153" s="11">
        <v>8.42</v>
      </c>
      <c r="J153" s="22"/>
    </row>
    <row r="154">
      <c r="A154" s="9" t="s">
        <v>648</v>
      </c>
      <c r="B154" s="11">
        <v>35.0</v>
      </c>
      <c r="C154" s="9" t="s">
        <v>36</v>
      </c>
      <c r="D154" s="11">
        <v>2.0</v>
      </c>
      <c r="E154" s="16">
        <v>46222.0</v>
      </c>
      <c r="F154" s="11" t="s">
        <v>23</v>
      </c>
      <c r="G154" s="11">
        <v>98.0</v>
      </c>
      <c r="H154" s="11">
        <v>10.06</v>
      </c>
      <c r="I154" s="11">
        <v>8.37</v>
      </c>
      <c r="J154" s="22"/>
    </row>
    <row r="155">
      <c r="A155" s="9" t="s">
        <v>650</v>
      </c>
      <c r="B155" s="11">
        <v>35.0</v>
      </c>
      <c r="C155" s="9" t="s">
        <v>36</v>
      </c>
      <c r="D155" s="11">
        <v>3.0</v>
      </c>
      <c r="E155" s="16">
        <v>46222.0</v>
      </c>
      <c r="F155" s="11" t="s">
        <v>23</v>
      </c>
      <c r="G155" s="11">
        <v>98.0</v>
      </c>
      <c r="H155" s="11">
        <v>10.06</v>
      </c>
      <c r="I155" s="11">
        <v>8.41</v>
      </c>
      <c r="J155" s="22"/>
    </row>
    <row r="156">
      <c r="A156" s="31" t="s">
        <v>654</v>
      </c>
      <c r="B156" s="32">
        <v>37.0</v>
      </c>
      <c r="C156" s="31" t="s">
        <v>19</v>
      </c>
      <c r="D156" s="32">
        <v>1.0</v>
      </c>
      <c r="E156" s="37">
        <v>46222.0</v>
      </c>
      <c r="F156" s="32" t="s">
        <v>23</v>
      </c>
      <c r="G156" s="32">
        <v>98.0</v>
      </c>
      <c r="H156" s="32">
        <v>10.06</v>
      </c>
      <c r="I156" s="32">
        <v>8.22</v>
      </c>
      <c r="J156" s="33"/>
    </row>
    <row r="157">
      <c r="A157" s="31" t="s">
        <v>657</v>
      </c>
      <c r="B157" s="32">
        <v>37.0</v>
      </c>
      <c r="C157" s="31" t="s">
        <v>36</v>
      </c>
      <c r="D157" s="32">
        <v>2.0</v>
      </c>
      <c r="E157" s="37">
        <v>46222.0</v>
      </c>
      <c r="F157" s="32" t="s">
        <v>23</v>
      </c>
      <c r="G157" s="32">
        <v>98.0</v>
      </c>
      <c r="H157" s="32">
        <v>10.06</v>
      </c>
      <c r="I157" s="32">
        <v>8.03</v>
      </c>
      <c r="J157" s="33"/>
    </row>
    <row r="158">
      <c r="A158" s="31" t="s">
        <v>658</v>
      </c>
      <c r="B158" s="32">
        <v>37.0</v>
      </c>
      <c r="C158" s="31" t="s">
        <v>36</v>
      </c>
      <c r="D158" s="32">
        <v>3.0</v>
      </c>
      <c r="E158" s="37">
        <v>46222.0</v>
      </c>
      <c r="F158" s="32" t="s">
        <v>23</v>
      </c>
      <c r="G158" s="32">
        <v>98.0</v>
      </c>
      <c r="H158" s="32">
        <v>10.06</v>
      </c>
      <c r="I158" s="32">
        <v>7.99</v>
      </c>
      <c r="J158" s="33"/>
    </row>
    <row r="159">
      <c r="A159" s="9" t="s">
        <v>662</v>
      </c>
      <c r="B159" s="11">
        <v>38.0</v>
      </c>
      <c r="C159" s="9" t="s">
        <v>28</v>
      </c>
      <c r="D159" s="11">
        <v>2.0</v>
      </c>
      <c r="E159" s="16">
        <v>46222.0</v>
      </c>
      <c r="F159" s="11" t="s">
        <v>23</v>
      </c>
      <c r="G159" s="11">
        <v>98.0</v>
      </c>
      <c r="H159" s="11">
        <v>10.06</v>
      </c>
      <c r="I159" s="11">
        <v>8.14</v>
      </c>
      <c r="J159" s="22"/>
    </row>
    <row r="160">
      <c r="A160" s="9" t="s">
        <v>665</v>
      </c>
      <c r="B160" s="11">
        <v>38.0</v>
      </c>
      <c r="C160" s="9" t="s">
        <v>36</v>
      </c>
      <c r="D160" s="11">
        <v>3.0</v>
      </c>
      <c r="E160" s="16">
        <v>46222.0</v>
      </c>
      <c r="F160" s="11" t="s">
        <v>23</v>
      </c>
      <c r="G160" s="11">
        <v>98.0</v>
      </c>
      <c r="H160" s="11">
        <v>10.06</v>
      </c>
      <c r="I160" s="11">
        <v>8.17</v>
      </c>
      <c r="J160" s="22"/>
    </row>
    <row r="161">
      <c r="A161" s="31" t="s">
        <v>670</v>
      </c>
      <c r="B161" s="32">
        <v>39.0</v>
      </c>
      <c r="C161" s="31" t="s">
        <v>28</v>
      </c>
      <c r="D161" s="32">
        <v>2.0</v>
      </c>
      <c r="E161" s="37">
        <v>46222.0</v>
      </c>
      <c r="F161" s="32" t="s">
        <v>23</v>
      </c>
      <c r="G161" s="32">
        <v>98.0</v>
      </c>
      <c r="H161" s="32">
        <v>10.06</v>
      </c>
      <c r="I161" s="32">
        <v>8.06</v>
      </c>
      <c r="J161" s="33"/>
    </row>
    <row r="162">
      <c r="A162" s="31" t="s">
        <v>672</v>
      </c>
      <c r="B162" s="32">
        <v>39.0</v>
      </c>
      <c r="C162" s="31" t="s">
        <v>19</v>
      </c>
      <c r="D162" s="32">
        <v>1.0</v>
      </c>
      <c r="E162" s="37">
        <v>46222.0</v>
      </c>
      <c r="F162" s="32" t="s">
        <v>23</v>
      </c>
      <c r="G162" s="32">
        <v>98.0</v>
      </c>
      <c r="H162" s="32">
        <v>10.06</v>
      </c>
      <c r="I162" s="32">
        <v>8.28</v>
      </c>
      <c r="J162" s="33"/>
    </row>
    <row r="163">
      <c r="A163" s="31" t="s">
        <v>674</v>
      </c>
      <c r="B163" s="32">
        <v>39.0</v>
      </c>
      <c r="C163" s="31" t="s">
        <v>19</v>
      </c>
      <c r="D163" s="32">
        <v>3.0</v>
      </c>
      <c r="E163" s="37">
        <v>46222.0</v>
      </c>
      <c r="F163" s="32" t="s">
        <v>23</v>
      </c>
      <c r="G163" s="32">
        <v>98.0</v>
      </c>
      <c r="H163" s="32">
        <v>10.06</v>
      </c>
      <c r="I163" s="32">
        <v>8.23</v>
      </c>
      <c r="J163" s="33"/>
    </row>
    <row r="164">
      <c r="A164" s="31" t="s">
        <v>678</v>
      </c>
      <c r="B164" s="32">
        <v>39.0</v>
      </c>
      <c r="C164" s="31" t="s">
        <v>36</v>
      </c>
      <c r="D164" s="32">
        <v>1.0</v>
      </c>
      <c r="E164" s="37">
        <v>46222.0</v>
      </c>
      <c r="F164" s="32" t="s">
        <v>23</v>
      </c>
      <c r="G164" s="32">
        <v>98.0</v>
      </c>
      <c r="H164" s="32">
        <v>10.06</v>
      </c>
      <c r="I164" s="32">
        <v>8.18</v>
      </c>
      <c r="J164" s="33"/>
    </row>
    <row r="165">
      <c r="A165" s="31" t="s">
        <v>681</v>
      </c>
      <c r="B165" s="32">
        <v>39.0</v>
      </c>
      <c r="C165" s="31" t="s">
        <v>36</v>
      </c>
      <c r="D165" s="32">
        <v>2.0</v>
      </c>
      <c r="E165" s="37">
        <v>46222.0</v>
      </c>
      <c r="F165" s="32" t="s">
        <v>23</v>
      </c>
      <c r="G165" s="32">
        <v>98.0</v>
      </c>
      <c r="H165" s="32">
        <v>10.06</v>
      </c>
      <c r="I165" s="32">
        <v>8.2</v>
      </c>
      <c r="J165" s="33"/>
    </row>
    <row r="166">
      <c r="A166" s="31" t="s">
        <v>685</v>
      </c>
      <c r="B166" s="32">
        <v>39.0</v>
      </c>
      <c r="C166" s="31" t="s">
        <v>36</v>
      </c>
      <c r="D166" s="32">
        <v>3.0</v>
      </c>
      <c r="E166" s="37">
        <v>46222.0</v>
      </c>
      <c r="F166" s="32" t="s">
        <v>23</v>
      </c>
      <c r="G166" s="32">
        <v>98.0</v>
      </c>
      <c r="H166" s="32">
        <v>10.06</v>
      </c>
      <c r="I166" s="32">
        <v>8.19</v>
      </c>
      <c r="J166" s="33"/>
    </row>
    <row r="167">
      <c r="A167" s="9" t="s">
        <v>686</v>
      </c>
      <c r="B167" s="11">
        <v>40.0</v>
      </c>
      <c r="C167" s="9" t="s">
        <v>28</v>
      </c>
      <c r="D167" s="11">
        <v>3.0</v>
      </c>
      <c r="E167" s="16">
        <v>46222.0</v>
      </c>
      <c r="F167" s="11" t="s">
        <v>23</v>
      </c>
      <c r="G167" s="11">
        <v>98.0</v>
      </c>
      <c r="H167" s="11">
        <v>10.06</v>
      </c>
      <c r="I167" s="11">
        <v>7.91</v>
      </c>
      <c r="J167" s="22"/>
    </row>
    <row r="168">
      <c r="A168" s="9" t="s">
        <v>690</v>
      </c>
      <c r="B168" s="11">
        <v>40.0</v>
      </c>
      <c r="C168" s="9" t="s">
        <v>19</v>
      </c>
      <c r="D168" s="11">
        <v>1.0</v>
      </c>
      <c r="E168" s="16">
        <v>46222.0</v>
      </c>
      <c r="F168" s="11" t="s">
        <v>23</v>
      </c>
      <c r="G168" s="11">
        <v>98.0</v>
      </c>
      <c r="H168" s="11">
        <v>10.06</v>
      </c>
      <c r="I168" s="11">
        <v>7.99</v>
      </c>
      <c r="J168" s="22"/>
    </row>
    <row r="169">
      <c r="A169" s="9" t="s">
        <v>694</v>
      </c>
      <c r="B169" s="11">
        <v>40.0</v>
      </c>
      <c r="C169" s="9" t="s">
        <v>36</v>
      </c>
      <c r="D169" s="11">
        <v>1.0</v>
      </c>
      <c r="E169" s="16">
        <v>46222.0</v>
      </c>
      <c r="F169" s="11" t="s">
        <v>23</v>
      </c>
      <c r="G169" s="11">
        <v>98.0</v>
      </c>
      <c r="H169" s="11">
        <v>10.06</v>
      </c>
      <c r="I169" s="11">
        <v>7.89</v>
      </c>
      <c r="J169" s="22"/>
    </row>
    <row r="170">
      <c r="A170" s="9" t="s">
        <v>698</v>
      </c>
      <c r="B170" s="11">
        <v>40.0</v>
      </c>
      <c r="C170" s="9" t="s">
        <v>36</v>
      </c>
      <c r="D170" s="11">
        <v>2.0</v>
      </c>
      <c r="E170" s="16">
        <v>46222.0</v>
      </c>
      <c r="F170" s="11" t="s">
        <v>23</v>
      </c>
      <c r="G170" s="11">
        <v>98.0</v>
      </c>
      <c r="H170" s="11">
        <v>10.06</v>
      </c>
      <c r="I170" s="11">
        <v>7.9</v>
      </c>
      <c r="J170" s="22"/>
    </row>
    <row r="171">
      <c r="A171" s="9" t="s">
        <v>702</v>
      </c>
      <c r="B171" s="11">
        <v>40.0</v>
      </c>
      <c r="C171" s="9" t="s">
        <v>36</v>
      </c>
      <c r="D171" s="11">
        <v>3.0</v>
      </c>
      <c r="E171" s="16">
        <v>46222.0</v>
      </c>
      <c r="F171" s="11" t="s">
        <v>23</v>
      </c>
      <c r="G171" s="11">
        <v>98.0</v>
      </c>
      <c r="H171" s="11">
        <v>10.06</v>
      </c>
      <c r="I171" s="11">
        <v>7.97</v>
      </c>
      <c r="J171" s="22"/>
    </row>
    <row r="172">
      <c r="A172" s="31" t="s">
        <v>705</v>
      </c>
      <c r="B172" s="32">
        <v>41.0</v>
      </c>
      <c r="C172" s="31" t="s">
        <v>19</v>
      </c>
      <c r="D172" s="32">
        <v>3.0</v>
      </c>
      <c r="E172" s="37">
        <v>46222.0</v>
      </c>
      <c r="F172" s="32" t="s">
        <v>23</v>
      </c>
      <c r="G172" s="32">
        <v>98.0</v>
      </c>
      <c r="H172" s="32">
        <v>10.06</v>
      </c>
      <c r="I172" s="32">
        <v>7.92</v>
      </c>
      <c r="J172" s="33"/>
    </row>
    <row r="173">
      <c r="A173" s="9" t="s">
        <v>709</v>
      </c>
      <c r="B173" s="11">
        <v>42.0</v>
      </c>
      <c r="C173" s="9" t="s">
        <v>28</v>
      </c>
      <c r="D173" s="11">
        <v>2.0</v>
      </c>
      <c r="E173" s="16">
        <v>46222.0</v>
      </c>
      <c r="F173" s="11" t="s">
        <v>23</v>
      </c>
      <c r="G173" s="11">
        <v>98.0</v>
      </c>
      <c r="H173" s="11">
        <v>10.06</v>
      </c>
      <c r="I173" s="11">
        <v>7.86</v>
      </c>
      <c r="J173" s="22"/>
    </row>
    <row r="174">
      <c r="A174" s="9" t="s">
        <v>714</v>
      </c>
      <c r="B174" s="11">
        <v>42.0</v>
      </c>
      <c r="C174" s="9" t="s">
        <v>36</v>
      </c>
      <c r="D174" s="11">
        <v>2.0</v>
      </c>
      <c r="E174" s="16">
        <v>46222.0</v>
      </c>
      <c r="F174" s="11" t="s">
        <v>23</v>
      </c>
      <c r="G174" s="11">
        <v>98.0</v>
      </c>
      <c r="H174" s="11">
        <v>10.06</v>
      </c>
      <c r="I174" s="11">
        <v>8.13</v>
      </c>
      <c r="J174" s="22"/>
    </row>
    <row r="175">
      <c r="A175" s="31" t="s">
        <v>717</v>
      </c>
      <c r="B175" s="32">
        <v>43.0</v>
      </c>
      <c r="C175" s="31" t="s">
        <v>19</v>
      </c>
      <c r="D175" s="32">
        <v>1.0</v>
      </c>
      <c r="E175" s="37">
        <v>46222.0</v>
      </c>
      <c r="F175" s="32" t="s">
        <v>23</v>
      </c>
      <c r="G175" s="32">
        <v>98.0</v>
      </c>
      <c r="H175" s="32">
        <v>10.06</v>
      </c>
      <c r="I175" s="32">
        <v>7.9</v>
      </c>
      <c r="J175" s="33"/>
    </row>
    <row r="176">
      <c r="A176" s="31" t="s">
        <v>721</v>
      </c>
      <c r="B176" s="32">
        <v>43.0</v>
      </c>
      <c r="C176" s="31" t="s">
        <v>19</v>
      </c>
      <c r="D176" s="32">
        <v>2.0</v>
      </c>
      <c r="E176" s="37">
        <v>46222.0</v>
      </c>
      <c r="F176" s="32" t="s">
        <v>23</v>
      </c>
      <c r="G176" s="32">
        <v>98.0</v>
      </c>
      <c r="H176" s="32">
        <v>10.06</v>
      </c>
      <c r="I176" s="32">
        <v>7.85</v>
      </c>
      <c r="J176" s="33"/>
    </row>
    <row r="177">
      <c r="A177" s="31" t="s">
        <v>724</v>
      </c>
      <c r="B177" s="32">
        <v>43.0</v>
      </c>
      <c r="C177" s="31" t="s">
        <v>19</v>
      </c>
      <c r="D177" s="32">
        <v>3.0</v>
      </c>
      <c r="E177" s="37">
        <v>46222.0</v>
      </c>
      <c r="F177" s="32" t="s">
        <v>23</v>
      </c>
      <c r="G177" s="32">
        <v>98.0</v>
      </c>
      <c r="H177" s="32">
        <v>10.06</v>
      </c>
      <c r="I177" s="32">
        <v>7.87</v>
      </c>
      <c r="J177" s="33"/>
    </row>
    <row r="178">
      <c r="A178" s="31" t="s">
        <v>728</v>
      </c>
      <c r="B178" s="32">
        <v>43.0</v>
      </c>
      <c r="C178" s="31" t="s">
        <v>36</v>
      </c>
      <c r="D178" s="32">
        <v>1.0</v>
      </c>
      <c r="E178" s="37">
        <v>46222.0</v>
      </c>
      <c r="F178" s="32" t="s">
        <v>23</v>
      </c>
      <c r="G178" s="32">
        <v>98.0</v>
      </c>
      <c r="H178" s="32">
        <v>10.06</v>
      </c>
      <c r="I178" s="32">
        <v>7.89</v>
      </c>
      <c r="J178" s="33"/>
    </row>
    <row r="179">
      <c r="A179" s="31" t="s">
        <v>732</v>
      </c>
      <c r="B179" s="32">
        <v>43.0</v>
      </c>
      <c r="C179" s="31" t="s">
        <v>36</v>
      </c>
      <c r="D179" s="32">
        <v>2.0</v>
      </c>
      <c r="E179" s="37">
        <v>46222.0</v>
      </c>
      <c r="F179" s="32" t="s">
        <v>23</v>
      </c>
      <c r="G179" s="32">
        <v>98.0</v>
      </c>
      <c r="H179" s="32">
        <v>10.06</v>
      </c>
      <c r="I179" s="32">
        <v>7.9</v>
      </c>
      <c r="J179" s="33"/>
    </row>
    <row r="180">
      <c r="A180" s="31" t="s">
        <v>737</v>
      </c>
      <c r="B180" s="32">
        <v>43.0</v>
      </c>
      <c r="C180" s="31" t="s">
        <v>36</v>
      </c>
      <c r="D180" s="32">
        <v>3.0</v>
      </c>
      <c r="E180" s="37">
        <v>46222.0</v>
      </c>
      <c r="F180" s="32" t="s">
        <v>23</v>
      </c>
      <c r="G180" s="32">
        <v>98.0</v>
      </c>
      <c r="H180" s="32">
        <v>10.06</v>
      </c>
      <c r="I180" s="32">
        <v>7.93</v>
      </c>
      <c r="J180" s="33"/>
    </row>
    <row r="181">
      <c r="A181" s="9" t="s">
        <v>740</v>
      </c>
      <c r="B181" s="11">
        <v>44.0</v>
      </c>
      <c r="C181" s="9" t="s">
        <v>19</v>
      </c>
      <c r="D181" s="11">
        <v>1.0</v>
      </c>
      <c r="E181" s="16">
        <v>46222.0</v>
      </c>
      <c r="F181" s="11" t="s">
        <v>23</v>
      </c>
      <c r="G181" s="11">
        <v>98.0</v>
      </c>
      <c r="H181" s="11">
        <v>10.06</v>
      </c>
      <c r="I181" s="11">
        <v>7.83</v>
      </c>
      <c r="J181" s="22"/>
    </row>
    <row r="182">
      <c r="A182" s="9" t="s">
        <v>744</v>
      </c>
      <c r="B182" s="11">
        <v>44.0</v>
      </c>
      <c r="C182" s="9" t="s">
        <v>36</v>
      </c>
      <c r="D182" s="11">
        <v>1.0</v>
      </c>
      <c r="E182" s="16">
        <v>46222.0</v>
      </c>
      <c r="F182" s="11" t="s">
        <v>23</v>
      </c>
      <c r="G182" s="11">
        <v>98.0</v>
      </c>
      <c r="H182" s="11">
        <v>10.06</v>
      </c>
      <c r="I182" s="11">
        <v>7.95</v>
      </c>
      <c r="J182" s="22"/>
    </row>
    <row r="183">
      <c r="A183" s="9" t="s">
        <v>747</v>
      </c>
      <c r="B183" s="11">
        <v>44.0</v>
      </c>
      <c r="C183" s="9" t="s">
        <v>36</v>
      </c>
      <c r="D183" s="11">
        <v>2.0</v>
      </c>
      <c r="E183" s="16">
        <v>46222.0</v>
      </c>
      <c r="F183" s="11" t="s">
        <v>23</v>
      </c>
      <c r="G183" s="11">
        <v>98.0</v>
      </c>
      <c r="H183" s="11">
        <v>10.06</v>
      </c>
      <c r="I183" s="11">
        <v>7.9</v>
      </c>
      <c r="J183" s="22"/>
    </row>
    <row r="184">
      <c r="A184" s="31" t="s">
        <v>751</v>
      </c>
      <c r="B184" s="32">
        <v>45.0</v>
      </c>
      <c r="C184" s="31" t="s">
        <v>28</v>
      </c>
      <c r="D184" s="32">
        <v>3.0</v>
      </c>
      <c r="E184" s="37">
        <v>46222.0</v>
      </c>
      <c r="F184" s="32" t="s">
        <v>23</v>
      </c>
      <c r="G184" s="32">
        <v>98.0</v>
      </c>
      <c r="H184" s="32">
        <v>10.06</v>
      </c>
      <c r="I184" s="32">
        <v>8.0</v>
      </c>
      <c r="J184" s="33"/>
    </row>
    <row r="185">
      <c r="A185" s="31" t="s">
        <v>754</v>
      </c>
      <c r="B185" s="32">
        <v>45.0</v>
      </c>
      <c r="C185" s="31" t="s">
        <v>19</v>
      </c>
      <c r="D185" s="32">
        <v>1.0</v>
      </c>
      <c r="E185" s="37">
        <v>46222.0</v>
      </c>
      <c r="F185" s="32" t="s">
        <v>23</v>
      </c>
      <c r="G185" s="32">
        <v>98.0</v>
      </c>
      <c r="H185" s="32">
        <v>10.06</v>
      </c>
      <c r="I185" s="32">
        <v>8.12</v>
      </c>
      <c r="J185" s="33"/>
    </row>
    <row r="186">
      <c r="A186" s="31" t="s">
        <v>755</v>
      </c>
      <c r="B186" s="32">
        <v>45.0</v>
      </c>
      <c r="C186" s="31" t="s">
        <v>19</v>
      </c>
      <c r="D186" s="32">
        <v>2.0</v>
      </c>
      <c r="E186" s="37">
        <v>46222.0</v>
      </c>
      <c r="F186" s="32" t="s">
        <v>23</v>
      </c>
      <c r="G186" s="32">
        <v>98.0</v>
      </c>
      <c r="H186" s="32">
        <v>10.06</v>
      </c>
      <c r="I186" s="32">
        <v>8.15</v>
      </c>
      <c r="J186" s="33"/>
    </row>
    <row r="187">
      <c r="A187" s="31" t="s">
        <v>759</v>
      </c>
      <c r="B187" s="32">
        <v>45.0</v>
      </c>
      <c r="C187" s="31" t="s">
        <v>19</v>
      </c>
      <c r="D187" s="32">
        <v>3.0</v>
      </c>
      <c r="E187" s="37">
        <v>46222.0</v>
      </c>
      <c r="F187" s="32" t="s">
        <v>23</v>
      </c>
      <c r="G187" s="32">
        <v>98.0</v>
      </c>
      <c r="H187" s="32">
        <v>10.06</v>
      </c>
      <c r="I187" s="32">
        <v>8.2</v>
      </c>
      <c r="J187" s="33"/>
    </row>
    <row r="188">
      <c r="A188" s="31" t="s">
        <v>762</v>
      </c>
      <c r="B188" s="32">
        <v>45.0</v>
      </c>
      <c r="C188" s="31" t="s">
        <v>36</v>
      </c>
      <c r="D188" s="32">
        <v>1.0</v>
      </c>
      <c r="E188" s="37">
        <v>46222.0</v>
      </c>
      <c r="F188" s="32" t="s">
        <v>23</v>
      </c>
      <c r="G188" s="32">
        <v>98.0</v>
      </c>
      <c r="H188" s="32">
        <v>10.06</v>
      </c>
      <c r="I188" s="32">
        <v>7.8</v>
      </c>
      <c r="J188" s="33"/>
    </row>
    <row r="189">
      <c r="A189" s="31" t="s">
        <v>766</v>
      </c>
      <c r="B189" s="32">
        <v>45.0</v>
      </c>
      <c r="C189" s="31" t="s">
        <v>36</v>
      </c>
      <c r="D189" s="32">
        <v>2.0</v>
      </c>
      <c r="E189" s="37">
        <v>46222.0</v>
      </c>
      <c r="F189" s="32" t="s">
        <v>23</v>
      </c>
      <c r="G189" s="32">
        <v>98.0</v>
      </c>
      <c r="H189" s="32">
        <v>10.06</v>
      </c>
      <c r="I189" s="32">
        <v>7.89</v>
      </c>
      <c r="J189" s="33"/>
    </row>
    <row r="190">
      <c r="A190" s="31" t="s">
        <v>769</v>
      </c>
      <c r="B190" s="32">
        <v>45.0</v>
      </c>
      <c r="C190" s="31" t="s">
        <v>36</v>
      </c>
      <c r="D190" s="32">
        <v>3.0</v>
      </c>
      <c r="E190" s="37">
        <v>46222.0</v>
      </c>
      <c r="F190" s="32" t="s">
        <v>23</v>
      </c>
      <c r="G190" s="32">
        <v>98.0</v>
      </c>
      <c r="H190" s="32">
        <v>10.06</v>
      </c>
      <c r="I190" s="32">
        <v>7.9</v>
      </c>
      <c r="J190" s="33"/>
    </row>
    <row r="191">
      <c r="A191" s="9" t="s">
        <v>771</v>
      </c>
      <c r="B191" s="11">
        <v>46.0</v>
      </c>
      <c r="C191" s="9" t="s">
        <v>36</v>
      </c>
      <c r="D191" s="11">
        <v>1.0</v>
      </c>
      <c r="E191" s="16">
        <v>46223.0</v>
      </c>
      <c r="F191" s="11" t="s">
        <v>23</v>
      </c>
      <c r="G191" s="11">
        <v>97.9</v>
      </c>
      <c r="H191" s="11">
        <v>10.07</v>
      </c>
      <c r="I191" s="11">
        <v>8.06</v>
      </c>
      <c r="J191" s="22"/>
    </row>
    <row r="192">
      <c r="A192" s="9" t="s">
        <v>774</v>
      </c>
      <c r="B192" s="11">
        <v>46.0</v>
      </c>
      <c r="C192" s="9" t="s">
        <v>36</v>
      </c>
      <c r="D192" s="11">
        <v>2.0</v>
      </c>
      <c r="E192" s="16">
        <v>46223.0</v>
      </c>
      <c r="F192" s="11" t="s">
        <v>23</v>
      </c>
      <c r="G192" s="11">
        <v>97.9</v>
      </c>
      <c r="H192" s="11">
        <v>10.07</v>
      </c>
      <c r="I192" s="11">
        <v>8.09</v>
      </c>
      <c r="J192" s="22"/>
    </row>
    <row r="193">
      <c r="A193" s="9" t="s">
        <v>778</v>
      </c>
      <c r="B193" s="11">
        <v>46.0</v>
      </c>
      <c r="C193" s="9" t="s">
        <v>36</v>
      </c>
      <c r="D193" s="11">
        <v>3.0</v>
      </c>
      <c r="E193" s="16">
        <v>46223.0</v>
      </c>
      <c r="F193" s="11" t="s">
        <v>23</v>
      </c>
      <c r="G193" s="11">
        <v>97.9</v>
      </c>
      <c r="H193" s="11">
        <v>10.07</v>
      </c>
      <c r="I193" s="11">
        <v>8.05</v>
      </c>
      <c r="J193" s="22"/>
    </row>
    <row r="194">
      <c r="A194" s="31" t="s">
        <v>780</v>
      </c>
      <c r="B194" s="32">
        <v>47.0</v>
      </c>
      <c r="C194" s="31" t="s">
        <v>36</v>
      </c>
      <c r="D194" s="32">
        <v>1.0</v>
      </c>
      <c r="E194" s="37">
        <v>46223.0</v>
      </c>
      <c r="F194" s="32" t="s">
        <v>23</v>
      </c>
      <c r="G194" s="32">
        <v>97.9</v>
      </c>
      <c r="H194" s="32">
        <v>10.07</v>
      </c>
      <c r="I194" s="32">
        <v>8.24</v>
      </c>
      <c r="J194" s="33"/>
    </row>
    <row r="195">
      <c r="A195" s="31" t="s">
        <v>784</v>
      </c>
      <c r="B195" s="32">
        <v>47.0</v>
      </c>
      <c r="C195" s="31" t="s">
        <v>36</v>
      </c>
      <c r="D195" s="32">
        <v>2.0</v>
      </c>
      <c r="E195" s="37">
        <v>46223.0</v>
      </c>
      <c r="F195" s="32" t="s">
        <v>23</v>
      </c>
      <c r="G195" s="32">
        <v>97.9</v>
      </c>
      <c r="H195" s="32">
        <v>10.07</v>
      </c>
      <c r="I195" s="32">
        <v>8.28</v>
      </c>
      <c r="J195" s="33"/>
    </row>
    <row r="196">
      <c r="A196" s="31" t="s">
        <v>787</v>
      </c>
      <c r="B196" s="32">
        <v>47.0</v>
      </c>
      <c r="C196" s="31" t="s">
        <v>36</v>
      </c>
      <c r="D196" s="32">
        <v>3.0</v>
      </c>
      <c r="E196" s="37">
        <v>46223.0</v>
      </c>
      <c r="F196" s="32" t="s">
        <v>23</v>
      </c>
      <c r="G196" s="32">
        <v>97.9</v>
      </c>
      <c r="H196" s="32">
        <v>10.07</v>
      </c>
      <c r="I196" s="32">
        <v>8.2</v>
      </c>
      <c r="J196" s="33"/>
    </row>
    <row r="197">
      <c r="A197" s="9" t="s">
        <v>790</v>
      </c>
      <c r="B197" s="11">
        <v>48.0</v>
      </c>
      <c r="C197" s="9" t="s">
        <v>19</v>
      </c>
      <c r="D197" s="11">
        <v>1.0</v>
      </c>
      <c r="E197" s="16">
        <v>46223.0</v>
      </c>
      <c r="F197" s="11" t="s">
        <v>23</v>
      </c>
      <c r="G197" s="11">
        <v>97.9</v>
      </c>
      <c r="H197" s="11">
        <v>10.07</v>
      </c>
      <c r="I197" s="11">
        <v>8.4</v>
      </c>
      <c r="J197" s="22"/>
    </row>
    <row r="198">
      <c r="A198" s="9" t="s">
        <v>793</v>
      </c>
      <c r="B198" s="11">
        <v>48.0</v>
      </c>
      <c r="C198" s="9" t="s">
        <v>19</v>
      </c>
      <c r="D198" s="11">
        <v>2.0</v>
      </c>
      <c r="E198" s="16">
        <v>46223.0</v>
      </c>
      <c r="F198" s="11" t="s">
        <v>23</v>
      </c>
      <c r="G198" s="11">
        <v>97.9</v>
      </c>
      <c r="H198" s="11">
        <v>10.07</v>
      </c>
      <c r="I198" s="11">
        <v>8.42</v>
      </c>
      <c r="J198" s="22"/>
    </row>
    <row r="199">
      <c r="A199" s="9" t="s">
        <v>797</v>
      </c>
      <c r="B199" s="11">
        <v>48.0</v>
      </c>
      <c r="C199" s="9" t="s">
        <v>19</v>
      </c>
      <c r="D199" s="11">
        <v>3.0</v>
      </c>
      <c r="E199" s="16">
        <v>46223.0</v>
      </c>
      <c r="F199" s="11" t="s">
        <v>23</v>
      </c>
      <c r="G199" s="11">
        <v>97.9</v>
      </c>
      <c r="H199" s="11">
        <v>10.07</v>
      </c>
      <c r="I199" s="11">
        <v>8.37</v>
      </c>
      <c r="J199" s="22"/>
    </row>
    <row r="200">
      <c r="A200" s="9" t="s">
        <v>800</v>
      </c>
      <c r="B200" s="11">
        <v>48.0</v>
      </c>
      <c r="C200" s="9" t="s">
        <v>36</v>
      </c>
      <c r="D200" s="11">
        <v>1.0</v>
      </c>
      <c r="E200" s="16">
        <v>46223.0</v>
      </c>
      <c r="F200" s="11" t="s">
        <v>23</v>
      </c>
      <c r="G200" s="11">
        <v>97.9</v>
      </c>
      <c r="H200" s="11">
        <v>10.07</v>
      </c>
      <c r="I200" s="11">
        <v>8.31</v>
      </c>
      <c r="J200" s="22"/>
    </row>
    <row r="201">
      <c r="A201" s="31" t="s">
        <v>803</v>
      </c>
      <c r="B201" s="32">
        <v>49.0</v>
      </c>
      <c r="C201" s="31" t="s">
        <v>19</v>
      </c>
      <c r="D201" s="32">
        <v>2.0</v>
      </c>
      <c r="E201" s="37">
        <v>46223.0</v>
      </c>
      <c r="F201" s="32" t="s">
        <v>23</v>
      </c>
      <c r="G201" s="32">
        <v>97.9</v>
      </c>
      <c r="H201" s="32">
        <v>10.07</v>
      </c>
      <c r="I201" s="32">
        <v>8.45</v>
      </c>
      <c r="J201" s="33"/>
    </row>
    <row r="202">
      <c r="A202" s="9" t="s">
        <v>806</v>
      </c>
      <c r="B202" s="11">
        <v>50.0</v>
      </c>
      <c r="C202" s="9" t="s">
        <v>36</v>
      </c>
      <c r="D202" s="11">
        <v>2.0</v>
      </c>
      <c r="E202" s="16">
        <v>46223.0</v>
      </c>
      <c r="F202" s="11" t="s">
        <v>23</v>
      </c>
      <c r="G202" s="11">
        <v>97.9</v>
      </c>
      <c r="H202" s="11">
        <v>10.07</v>
      </c>
      <c r="I202" s="11">
        <v>8.26</v>
      </c>
      <c r="J202" s="22"/>
    </row>
    <row r="203">
      <c r="A203" s="31" t="s">
        <v>809</v>
      </c>
      <c r="B203" s="32">
        <v>51.0</v>
      </c>
      <c r="C203" s="31" t="s">
        <v>36</v>
      </c>
      <c r="D203" s="32">
        <v>2.0</v>
      </c>
      <c r="E203" s="37">
        <v>46223.0</v>
      </c>
      <c r="F203" s="32" t="s">
        <v>23</v>
      </c>
      <c r="G203" s="32">
        <v>97.9</v>
      </c>
      <c r="H203" s="32">
        <v>10.07</v>
      </c>
      <c r="I203" s="32">
        <v>8.32</v>
      </c>
      <c r="J203" s="33"/>
    </row>
    <row r="204">
      <c r="A204" s="31" t="s">
        <v>812</v>
      </c>
      <c r="B204" s="32">
        <v>51.0</v>
      </c>
      <c r="C204" s="31" t="s">
        <v>36</v>
      </c>
      <c r="D204" s="32">
        <v>3.0</v>
      </c>
      <c r="E204" s="37">
        <v>46223.0</v>
      </c>
      <c r="F204" s="32" t="s">
        <v>23</v>
      </c>
      <c r="G204" s="32">
        <v>97.9</v>
      </c>
      <c r="H204" s="32">
        <v>10.07</v>
      </c>
      <c r="I204" s="32">
        <v>8.28</v>
      </c>
      <c r="J204" s="33"/>
    </row>
    <row r="205">
      <c r="A205" s="9" t="s">
        <v>816</v>
      </c>
      <c r="B205" s="11">
        <v>53.0</v>
      </c>
      <c r="C205" s="9" t="s">
        <v>36</v>
      </c>
      <c r="D205" s="11">
        <v>2.0</v>
      </c>
      <c r="E205" s="16">
        <v>46223.0</v>
      </c>
      <c r="F205" s="11" t="s">
        <v>23</v>
      </c>
      <c r="G205" s="11">
        <v>97.9</v>
      </c>
      <c r="H205" s="11">
        <v>10.07</v>
      </c>
      <c r="I205" s="11">
        <v>8.23</v>
      </c>
      <c r="J205" s="22"/>
    </row>
    <row r="206">
      <c r="A206" s="31" t="s">
        <v>818</v>
      </c>
      <c r="B206" s="32">
        <v>54.0</v>
      </c>
      <c r="C206" s="31" t="s">
        <v>36</v>
      </c>
      <c r="D206" s="32">
        <v>1.0</v>
      </c>
      <c r="E206" s="37">
        <v>46223.0</v>
      </c>
      <c r="F206" s="32" t="s">
        <v>23</v>
      </c>
      <c r="G206" s="32">
        <v>97.9</v>
      </c>
      <c r="H206" s="32">
        <v>10.07</v>
      </c>
      <c r="I206" s="32">
        <v>8.43</v>
      </c>
      <c r="J206" s="33"/>
    </row>
    <row r="207">
      <c r="A207" s="31" t="s">
        <v>824</v>
      </c>
      <c r="B207" s="32">
        <v>54.0</v>
      </c>
      <c r="C207" s="31" t="s">
        <v>36</v>
      </c>
      <c r="D207" s="32">
        <v>2.0</v>
      </c>
      <c r="E207" s="37">
        <v>46223.0</v>
      </c>
      <c r="F207" s="32" t="s">
        <v>23</v>
      </c>
      <c r="G207" s="32">
        <v>97.9</v>
      </c>
      <c r="H207" s="32">
        <v>10.07</v>
      </c>
      <c r="I207" s="32">
        <v>8.41</v>
      </c>
      <c r="J207" s="33"/>
    </row>
    <row r="208">
      <c r="A208" s="31" t="s">
        <v>826</v>
      </c>
      <c r="B208" s="32">
        <v>54.0</v>
      </c>
      <c r="C208" s="31" t="s">
        <v>36</v>
      </c>
      <c r="D208" s="32">
        <v>3.0</v>
      </c>
      <c r="E208" s="37">
        <v>46223.0</v>
      </c>
      <c r="F208" s="32" t="s">
        <v>23</v>
      </c>
      <c r="G208" s="32">
        <v>97.9</v>
      </c>
      <c r="H208" s="32">
        <v>10.07</v>
      </c>
      <c r="I208" s="32">
        <v>8.38</v>
      </c>
      <c r="J208" s="33"/>
    </row>
    <row r="209">
      <c r="A209" s="9" t="s">
        <v>829</v>
      </c>
      <c r="B209" s="11">
        <v>55.0</v>
      </c>
      <c r="C209" s="9" t="s">
        <v>28</v>
      </c>
      <c r="D209" s="11">
        <v>2.0</v>
      </c>
      <c r="E209" s="16">
        <v>46223.0</v>
      </c>
      <c r="F209" s="11" t="s">
        <v>23</v>
      </c>
      <c r="G209" s="11">
        <v>97.9</v>
      </c>
      <c r="H209" s="11">
        <v>10.07</v>
      </c>
      <c r="I209" s="11">
        <v>8.45</v>
      </c>
      <c r="J209" s="22"/>
    </row>
    <row r="210">
      <c r="A210" s="9" t="s">
        <v>832</v>
      </c>
      <c r="B210" s="11">
        <v>55.0</v>
      </c>
      <c r="C210" s="9" t="s">
        <v>28</v>
      </c>
      <c r="D210" s="11">
        <v>3.0</v>
      </c>
      <c r="E210" s="16">
        <v>46223.0</v>
      </c>
      <c r="F210" s="11" t="s">
        <v>23</v>
      </c>
      <c r="G210" s="11">
        <v>97.9</v>
      </c>
      <c r="H210" s="11">
        <v>10.07</v>
      </c>
      <c r="I210" s="11">
        <v>8.4</v>
      </c>
      <c r="J210" s="22"/>
    </row>
    <row r="211">
      <c r="A211" s="9" t="s">
        <v>835</v>
      </c>
      <c r="B211" s="11">
        <v>55.0</v>
      </c>
      <c r="C211" s="9" t="s">
        <v>19</v>
      </c>
      <c r="D211" s="11">
        <v>1.0</v>
      </c>
      <c r="E211" s="16">
        <v>46223.0</v>
      </c>
      <c r="F211" s="11" t="s">
        <v>23</v>
      </c>
      <c r="G211" s="11">
        <v>97.9</v>
      </c>
      <c r="H211" s="11">
        <v>10.07</v>
      </c>
      <c r="I211" s="11">
        <v>8.43</v>
      </c>
      <c r="J211" s="22"/>
    </row>
    <row r="212">
      <c r="A212" s="9" t="s">
        <v>838</v>
      </c>
      <c r="B212" s="11">
        <v>55.0</v>
      </c>
      <c r="C212" s="9" t="s">
        <v>36</v>
      </c>
      <c r="D212" s="11">
        <v>1.0</v>
      </c>
      <c r="E212" s="16">
        <v>46223.0</v>
      </c>
      <c r="F212" s="11" t="s">
        <v>23</v>
      </c>
      <c r="G212" s="11">
        <v>97.9</v>
      </c>
      <c r="H212" s="11">
        <v>10.07</v>
      </c>
      <c r="I212" s="11">
        <v>8.48</v>
      </c>
      <c r="J212" s="22"/>
    </row>
    <row r="213">
      <c r="A213" s="9" t="s">
        <v>841</v>
      </c>
      <c r="B213" s="11">
        <v>55.0</v>
      </c>
      <c r="C213" s="9" t="s">
        <v>36</v>
      </c>
      <c r="D213" s="11">
        <v>2.0</v>
      </c>
      <c r="E213" s="16">
        <v>46223.0</v>
      </c>
      <c r="F213" s="11" t="s">
        <v>23</v>
      </c>
      <c r="G213" s="11">
        <v>97.9</v>
      </c>
      <c r="H213" s="11">
        <v>10.07</v>
      </c>
      <c r="I213" s="11">
        <v>8.44</v>
      </c>
      <c r="J213" s="22"/>
    </row>
    <row r="214">
      <c r="A214" s="9" t="s">
        <v>844</v>
      </c>
      <c r="B214" s="11">
        <v>55.0</v>
      </c>
      <c r="C214" s="9" t="s">
        <v>36</v>
      </c>
      <c r="D214" s="11">
        <v>3.0</v>
      </c>
      <c r="E214" s="16">
        <v>46223.0</v>
      </c>
      <c r="F214" s="11" t="s">
        <v>23</v>
      </c>
      <c r="G214" s="11">
        <v>97.9</v>
      </c>
      <c r="H214" s="11">
        <v>10.07</v>
      </c>
      <c r="I214" s="11">
        <v>8.39</v>
      </c>
      <c r="J214" s="22"/>
    </row>
    <row r="215">
      <c r="A215" s="31" t="s">
        <v>847</v>
      </c>
      <c r="B215" s="32">
        <v>57.0</v>
      </c>
      <c r="C215" s="31" t="s">
        <v>36</v>
      </c>
      <c r="D215" s="32">
        <v>2.0</v>
      </c>
      <c r="E215" s="37">
        <v>46223.0</v>
      </c>
      <c r="F215" s="32" t="s">
        <v>23</v>
      </c>
      <c r="G215" s="32">
        <v>97.9</v>
      </c>
      <c r="H215" s="32">
        <v>10.07</v>
      </c>
      <c r="I215" s="32">
        <v>8.03</v>
      </c>
      <c r="J215" s="33"/>
    </row>
    <row r="216">
      <c r="A216" s="31" t="s">
        <v>849</v>
      </c>
      <c r="B216" s="32">
        <v>57.0</v>
      </c>
      <c r="C216" s="31" t="s">
        <v>36</v>
      </c>
      <c r="D216" s="32">
        <v>3.0</v>
      </c>
      <c r="E216" s="37">
        <v>46223.0</v>
      </c>
      <c r="F216" s="32" t="s">
        <v>23</v>
      </c>
      <c r="G216" s="32">
        <v>97.9</v>
      </c>
      <c r="H216" s="32">
        <v>10.07</v>
      </c>
      <c r="I216" s="32">
        <v>8.05</v>
      </c>
      <c r="J216" s="33"/>
    </row>
    <row r="217">
      <c r="A217" s="9" t="s">
        <v>852</v>
      </c>
      <c r="B217" s="11">
        <v>58.0</v>
      </c>
      <c r="C217" s="9" t="s">
        <v>36</v>
      </c>
      <c r="D217" s="11">
        <v>1.0</v>
      </c>
      <c r="E217" s="16">
        <v>46223.0</v>
      </c>
      <c r="F217" s="11" t="s">
        <v>23</v>
      </c>
      <c r="G217" s="11">
        <v>97.9</v>
      </c>
      <c r="H217" s="11">
        <v>10.07</v>
      </c>
      <c r="I217" s="11">
        <v>8.33</v>
      </c>
      <c r="J217" s="22"/>
    </row>
    <row r="218">
      <c r="A218" s="9" t="s">
        <v>856</v>
      </c>
      <c r="B218" s="11">
        <v>58.0</v>
      </c>
      <c r="C218" s="9" t="s">
        <v>36</v>
      </c>
      <c r="D218" s="11">
        <v>2.0</v>
      </c>
      <c r="E218" s="16">
        <v>46223.0</v>
      </c>
      <c r="F218" s="11" t="s">
        <v>23</v>
      </c>
      <c r="G218" s="11">
        <v>97.9</v>
      </c>
      <c r="H218" s="11">
        <v>10.07</v>
      </c>
      <c r="I218" s="11">
        <v>8.29</v>
      </c>
      <c r="J218" s="22"/>
    </row>
    <row r="219">
      <c r="A219" s="9" t="s">
        <v>858</v>
      </c>
      <c r="B219" s="11">
        <v>58.0</v>
      </c>
      <c r="C219" s="9" t="s">
        <v>36</v>
      </c>
      <c r="D219" s="11">
        <v>3.0</v>
      </c>
      <c r="E219" s="16">
        <v>46223.0</v>
      </c>
      <c r="F219" s="11" t="s">
        <v>23</v>
      </c>
      <c r="G219" s="11">
        <v>97.9</v>
      </c>
      <c r="H219" s="11">
        <v>10.07</v>
      </c>
      <c r="I219" s="11">
        <v>8.35</v>
      </c>
      <c r="J219" s="22"/>
    </row>
    <row r="220">
      <c r="A220" s="31" t="s">
        <v>861</v>
      </c>
      <c r="B220" s="32">
        <v>60.0</v>
      </c>
      <c r="C220" s="31" t="s">
        <v>36</v>
      </c>
      <c r="D220" s="32">
        <v>1.0</v>
      </c>
      <c r="E220" s="37">
        <v>46223.0</v>
      </c>
      <c r="F220" s="32" t="s">
        <v>23</v>
      </c>
      <c r="G220" s="32">
        <v>97.9</v>
      </c>
      <c r="H220" s="32">
        <v>10.07</v>
      </c>
      <c r="I220" s="32">
        <v>8.26</v>
      </c>
      <c r="J220" s="33"/>
    </row>
    <row r="221">
      <c r="A221" s="31" t="s">
        <v>865</v>
      </c>
      <c r="B221" s="32">
        <v>60.0</v>
      </c>
      <c r="C221" s="31" t="s">
        <v>36</v>
      </c>
      <c r="D221" s="32">
        <v>2.0</v>
      </c>
      <c r="E221" s="37">
        <v>46223.0</v>
      </c>
      <c r="F221" s="32" t="s">
        <v>23</v>
      </c>
      <c r="G221" s="32">
        <v>97.9</v>
      </c>
      <c r="H221" s="32">
        <v>10.07</v>
      </c>
      <c r="I221" s="32">
        <v>8.24</v>
      </c>
      <c r="J221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7" width="10.0"/>
    <col customWidth="1" min="8" max="8" width="12.0"/>
    <col customWidth="1" min="9" max="9" width="4.0"/>
    <col customWidth="1" min="10" max="26" width="8.71"/>
  </cols>
  <sheetData>
    <row r="1">
      <c r="A1" s="2" t="s">
        <v>899</v>
      </c>
    </row>
    <row r="2">
      <c r="A2" s="4" t="s">
        <v>901</v>
      </c>
    </row>
    <row r="4">
      <c r="A4" s="5" t="s">
        <v>902</v>
      </c>
    </row>
    <row r="5" ht="31.5" customHeight="1">
      <c r="A5" s="6" t="s">
        <v>904</v>
      </c>
      <c r="B5" s="6" t="s">
        <v>905</v>
      </c>
      <c r="C5" s="6" t="s">
        <v>906</v>
      </c>
      <c r="D5" s="6" t="s">
        <v>907</v>
      </c>
      <c r="E5" s="6" t="s">
        <v>908</v>
      </c>
      <c r="F5" s="6" t="s">
        <v>910</v>
      </c>
      <c r="G5" s="6" t="s">
        <v>912</v>
      </c>
      <c r="H5" s="6" t="s">
        <v>913</v>
      </c>
      <c r="I5" s="6"/>
    </row>
    <row r="6">
      <c r="A6" s="54">
        <v>1.0</v>
      </c>
      <c r="B6" s="55">
        <v>2.5</v>
      </c>
      <c r="C6" s="56">
        <v>7.97</v>
      </c>
      <c r="D6" s="56">
        <v>8.0</v>
      </c>
      <c r="E6" s="56">
        <v>7.92</v>
      </c>
      <c r="F6" s="56">
        <f t="shared" ref="F6:F8" si="1">AVERAGE(C6:E6)</f>
        <v>7.963333333</v>
      </c>
      <c r="G6" s="57">
        <f t="shared" ref="G6:G8" si="2">STDEV(C6:E6)</f>
        <v>0.04041451884</v>
      </c>
      <c r="H6" s="58">
        <f t="shared" ref="H6:H8" si="3">F6-$F$8</f>
        <v>-0.2766666667</v>
      </c>
    </row>
    <row r="7">
      <c r="A7" s="54">
        <v>2.0</v>
      </c>
      <c r="B7" s="55">
        <v>5.0</v>
      </c>
      <c r="C7" s="56">
        <v>8.25</v>
      </c>
      <c r="D7" s="56">
        <v>8.25</v>
      </c>
      <c r="E7" s="56">
        <v>8.11</v>
      </c>
      <c r="F7" s="56">
        <f t="shared" si="1"/>
        <v>8.203333333</v>
      </c>
      <c r="G7" s="57">
        <f t="shared" si="2"/>
        <v>0.08082903769</v>
      </c>
      <c r="H7" s="58">
        <f t="shared" si="3"/>
        <v>-0.03666666667</v>
      </c>
    </row>
    <row r="8">
      <c r="A8" s="54">
        <v>5.0</v>
      </c>
      <c r="B8" s="55">
        <v>12.5</v>
      </c>
      <c r="C8" s="56">
        <v>8.25</v>
      </c>
      <c r="D8" s="56">
        <v>8.25</v>
      </c>
      <c r="E8" s="56">
        <v>8.22</v>
      </c>
      <c r="F8" s="56">
        <f t="shared" si="1"/>
        <v>8.24</v>
      </c>
      <c r="G8" s="57">
        <f t="shared" si="2"/>
        <v>0.01732050808</v>
      </c>
      <c r="H8" s="58">
        <f t="shared" si="3"/>
        <v>0</v>
      </c>
    </row>
    <row r="10" ht="25.5" customHeight="1">
      <c r="A10" s="59" t="s">
        <v>933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4:I4"/>
    <mergeCell ref="A10:I1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6" width="10.0"/>
    <col customWidth="1" min="7" max="7" width="13.0"/>
    <col customWidth="1" min="8" max="8" width="12.0"/>
    <col customWidth="1" min="9" max="9" width="4.0"/>
    <col customWidth="1" min="10" max="26" width="8.71"/>
  </cols>
  <sheetData>
    <row r="1">
      <c r="A1" s="2" t="s">
        <v>984</v>
      </c>
    </row>
    <row r="2">
      <c r="A2" s="4" t="s">
        <v>987</v>
      </c>
    </row>
    <row r="4">
      <c r="A4" s="5" t="s">
        <v>988</v>
      </c>
    </row>
    <row r="5" ht="31.5" customHeight="1">
      <c r="A5" s="6" t="s">
        <v>990</v>
      </c>
      <c r="B5" s="6" t="s">
        <v>904</v>
      </c>
      <c r="C5" s="6" t="s">
        <v>906</v>
      </c>
      <c r="D5" s="6" t="s">
        <v>907</v>
      </c>
      <c r="E5" s="6" t="s">
        <v>908</v>
      </c>
      <c r="F5" s="6" t="s">
        <v>910</v>
      </c>
      <c r="G5" s="6" t="s">
        <v>992</v>
      </c>
      <c r="H5" s="6" t="s">
        <v>993</v>
      </c>
      <c r="I5" s="6"/>
    </row>
    <row r="6">
      <c r="A6" s="10" t="s">
        <v>995</v>
      </c>
      <c r="B6" s="54">
        <v>1.0</v>
      </c>
      <c r="C6" s="56">
        <v>7.28</v>
      </c>
      <c r="D6" s="56">
        <v>7.51</v>
      </c>
      <c r="E6" s="56">
        <v>7.51</v>
      </c>
      <c r="F6" s="56">
        <f t="shared" ref="F6:F9" si="1">IFERROR(AVERAGE(C6:E6),"")</f>
        <v>7.433333333</v>
      </c>
      <c r="G6" s="57">
        <f t="shared" ref="G6:G9" si="2">IFERROR(STDEV(C6:E6),"")</f>
        <v>0.1327905619</v>
      </c>
      <c r="H6" s="58">
        <f t="shared" ref="H6:H9" si="3">IFERROR(F6-8.03,"")</f>
        <v>-0.5966666667</v>
      </c>
    </row>
    <row r="7">
      <c r="A7" s="10" t="s">
        <v>995</v>
      </c>
      <c r="B7" s="54">
        <v>1.0</v>
      </c>
      <c r="C7" s="56">
        <v>7.69</v>
      </c>
      <c r="D7" s="56">
        <v>6.89</v>
      </c>
      <c r="E7" s="56"/>
      <c r="F7" s="56">
        <f t="shared" si="1"/>
        <v>7.29</v>
      </c>
      <c r="G7" s="57">
        <f t="shared" si="2"/>
        <v>0.5656854249</v>
      </c>
      <c r="H7" s="58">
        <f t="shared" si="3"/>
        <v>-0.74</v>
      </c>
    </row>
    <row r="8">
      <c r="A8" s="10" t="s">
        <v>1008</v>
      </c>
      <c r="B8" s="54">
        <v>1.0</v>
      </c>
      <c r="C8" s="56">
        <v>7.56</v>
      </c>
      <c r="D8" s="56">
        <v>7.58</v>
      </c>
      <c r="E8" s="56">
        <v>7.61</v>
      </c>
      <c r="F8" s="56">
        <f t="shared" si="1"/>
        <v>7.583333333</v>
      </c>
      <c r="G8" s="57">
        <f t="shared" si="2"/>
        <v>0.02516611478</v>
      </c>
      <c r="H8" s="58">
        <f t="shared" si="3"/>
        <v>-0.4466666667</v>
      </c>
    </row>
    <row r="9">
      <c r="A9" s="10" t="s">
        <v>1008</v>
      </c>
      <c r="B9" s="54">
        <v>5.0</v>
      </c>
      <c r="C9" s="56">
        <v>7.74</v>
      </c>
      <c r="D9" s="56">
        <v>7.72</v>
      </c>
      <c r="E9" s="56">
        <v>7.78</v>
      </c>
      <c r="F9" s="56">
        <f t="shared" si="1"/>
        <v>7.746666667</v>
      </c>
      <c r="G9" s="57">
        <f t="shared" si="2"/>
        <v>0.03055050463</v>
      </c>
      <c r="H9" s="58">
        <f t="shared" si="3"/>
        <v>-0.2833333333</v>
      </c>
    </row>
    <row r="10" ht="25.5" customHeight="1">
      <c r="A10" s="59" t="s">
        <v>1012</v>
      </c>
    </row>
    <row r="13">
      <c r="A13" s="5" t="s">
        <v>1015</v>
      </c>
    </row>
    <row r="14" ht="31.5" customHeight="1">
      <c r="A14" s="6" t="s">
        <v>1016</v>
      </c>
      <c r="B14" s="6" t="s">
        <v>904</v>
      </c>
      <c r="C14" s="6" t="s">
        <v>906</v>
      </c>
      <c r="D14" s="6" t="s">
        <v>907</v>
      </c>
      <c r="E14" s="6" t="s">
        <v>908</v>
      </c>
      <c r="F14" s="6" t="s">
        <v>910</v>
      </c>
      <c r="G14" s="6" t="s">
        <v>1019</v>
      </c>
      <c r="H14" s="6" t="s">
        <v>1020</v>
      </c>
      <c r="I14" s="6"/>
    </row>
    <row r="15">
      <c r="A15" s="54" t="s">
        <v>1022</v>
      </c>
      <c r="B15" s="54">
        <v>1.0</v>
      </c>
      <c r="C15" s="56">
        <v>7.44</v>
      </c>
      <c r="D15" s="56">
        <v>7.46</v>
      </c>
      <c r="E15" s="56">
        <v>7.41</v>
      </c>
      <c r="F15" s="56">
        <f t="shared" ref="F15:F20" si="4">AVERAGE(C15:E15)</f>
        <v>7.436666667</v>
      </c>
      <c r="G15" s="56"/>
      <c r="H15" s="58" t="str">
        <f t="shared" ref="H15:H20" si="5">IF(G15="","",F15-G15)</f>
        <v/>
      </c>
    </row>
    <row r="16">
      <c r="A16" s="54" t="s">
        <v>1022</v>
      </c>
      <c r="B16" s="54">
        <v>2.0</v>
      </c>
      <c r="C16" s="56">
        <v>7.38</v>
      </c>
      <c r="D16" s="56">
        <v>7.32</v>
      </c>
      <c r="E16" s="56">
        <v>7.33</v>
      </c>
      <c r="F16" s="56">
        <f t="shared" si="4"/>
        <v>7.343333333</v>
      </c>
      <c r="G16" s="56"/>
      <c r="H16" s="58" t="str">
        <f t="shared" si="5"/>
        <v/>
      </c>
    </row>
    <row r="17">
      <c r="A17" s="54" t="s">
        <v>1022</v>
      </c>
      <c r="B17" s="54">
        <v>5.0</v>
      </c>
      <c r="C17" s="56">
        <v>7.21</v>
      </c>
      <c r="D17" s="56">
        <v>7.23</v>
      </c>
      <c r="E17" s="56">
        <v>7.2</v>
      </c>
      <c r="F17" s="56">
        <f t="shared" si="4"/>
        <v>7.213333333</v>
      </c>
      <c r="G17" s="56">
        <v>8.21</v>
      </c>
      <c r="H17" s="58">
        <f t="shared" si="5"/>
        <v>-0.9966666667</v>
      </c>
    </row>
    <row r="18">
      <c r="A18" s="54" t="s">
        <v>1031</v>
      </c>
      <c r="B18" s="54">
        <v>1.0</v>
      </c>
      <c r="C18" s="56">
        <v>7.18</v>
      </c>
      <c r="D18" s="56">
        <v>7.18</v>
      </c>
      <c r="E18" s="56">
        <v>7.19</v>
      </c>
      <c r="F18" s="56">
        <f t="shared" si="4"/>
        <v>7.183333333</v>
      </c>
      <c r="G18" s="56"/>
      <c r="H18" s="58" t="str">
        <f t="shared" si="5"/>
        <v/>
      </c>
    </row>
    <row r="19">
      <c r="A19" s="54" t="s">
        <v>1031</v>
      </c>
      <c r="B19" s="54">
        <v>2.0</v>
      </c>
      <c r="C19" s="56">
        <v>7.18</v>
      </c>
      <c r="D19" s="56">
        <v>7.16</v>
      </c>
      <c r="E19" s="56">
        <v>7.13</v>
      </c>
      <c r="F19" s="56">
        <f t="shared" si="4"/>
        <v>7.156666667</v>
      </c>
      <c r="G19" s="56"/>
      <c r="H19" s="58" t="str">
        <f t="shared" si="5"/>
        <v/>
      </c>
    </row>
    <row r="20">
      <c r="A20" s="54" t="s">
        <v>1031</v>
      </c>
      <c r="B20" s="54">
        <v>5.0</v>
      </c>
      <c r="C20" s="56">
        <v>7.09</v>
      </c>
      <c r="D20" s="56">
        <v>7.05</v>
      </c>
      <c r="E20" s="56">
        <v>6.99</v>
      </c>
      <c r="F20" s="56">
        <f t="shared" si="4"/>
        <v>7.043333333</v>
      </c>
      <c r="G20" s="56">
        <v>7.49</v>
      </c>
      <c r="H20" s="58">
        <f t="shared" si="5"/>
        <v>-0.4466666667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I4"/>
    <mergeCell ref="A10:I11"/>
    <mergeCell ref="A13:I1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7" width="10.0"/>
    <col customWidth="1" min="8" max="8" width="12.0"/>
    <col customWidth="1" min="9" max="9" width="4.0"/>
    <col customWidth="1" min="10" max="26" width="8.71"/>
  </cols>
  <sheetData>
    <row r="1">
      <c r="A1" s="2" t="s">
        <v>1079</v>
      </c>
    </row>
    <row r="2">
      <c r="A2" s="4" t="s">
        <v>1082</v>
      </c>
    </row>
    <row r="4">
      <c r="A4" s="5" t="s">
        <v>1083</v>
      </c>
    </row>
    <row r="5" ht="31.5" customHeight="1">
      <c r="A5" s="6" t="s">
        <v>1085</v>
      </c>
      <c r="B5" s="6" t="s">
        <v>1086</v>
      </c>
      <c r="C5" s="6" t="s">
        <v>1087</v>
      </c>
      <c r="D5" s="6" t="s">
        <v>1088</v>
      </c>
      <c r="E5" s="6"/>
      <c r="F5" s="6"/>
      <c r="G5" s="6"/>
      <c r="H5" s="6"/>
      <c r="I5" s="6"/>
    </row>
    <row r="6">
      <c r="A6" s="54">
        <v>1.0</v>
      </c>
      <c r="B6" s="56">
        <v>7.97</v>
      </c>
      <c r="C6" s="56">
        <v>7.94</v>
      </c>
      <c r="D6" s="56">
        <f t="shared" ref="D6:D8" si="1">AVERAGE(B6:C6)</f>
        <v>7.955</v>
      </c>
    </row>
    <row r="7">
      <c r="A7" s="54">
        <v>2.0</v>
      </c>
      <c r="B7" s="56">
        <v>8.06</v>
      </c>
      <c r="C7" s="56">
        <v>8.15</v>
      </c>
      <c r="D7" s="56">
        <f t="shared" si="1"/>
        <v>8.105</v>
      </c>
    </row>
    <row r="8">
      <c r="A8" s="54">
        <v>3.0</v>
      </c>
      <c r="B8" s="56">
        <v>8.05</v>
      </c>
      <c r="C8" s="56">
        <v>8.0</v>
      </c>
      <c r="D8" s="56">
        <f t="shared" si="1"/>
        <v>8.025</v>
      </c>
    </row>
    <row r="9">
      <c r="A9" s="60" t="s">
        <v>910</v>
      </c>
      <c r="B9" s="61">
        <f t="shared" ref="B9:D9" si="2">AVERAGE(B6:B8)</f>
        <v>8.026666667</v>
      </c>
      <c r="C9" s="61">
        <f t="shared" si="2"/>
        <v>8.03</v>
      </c>
      <c r="D9" s="61">
        <f t="shared" si="2"/>
        <v>8.028333333</v>
      </c>
    </row>
    <row r="10">
      <c r="A10" s="60" t="s">
        <v>992</v>
      </c>
      <c r="B10" s="62">
        <f t="shared" ref="B10:D10" si="3">STDEV(B6:B8)</f>
        <v>0.04932882862</v>
      </c>
      <c r="C10" s="62">
        <f t="shared" si="3"/>
        <v>0.1081665383</v>
      </c>
      <c r="D10" s="62">
        <f t="shared" si="3"/>
        <v>0.07505553499</v>
      </c>
    </row>
    <row r="11">
      <c r="A11" s="63" t="str">
        <f>"Established 8.03 ± 0.11 — measured "&amp;TEXT(D9,"0.00")&amp;"   ✓ matches"</f>
        <v>Established 8.03 ± 0.11 — measured 8.03   ✓ matches</v>
      </c>
    </row>
    <row r="13">
      <c r="A13" s="5" t="s">
        <v>1103</v>
      </c>
    </row>
    <row r="14" ht="31.5" customHeight="1">
      <c r="A14" s="6" t="s">
        <v>904</v>
      </c>
      <c r="B14" s="6" t="s">
        <v>905</v>
      </c>
      <c r="C14" s="6" t="s">
        <v>906</v>
      </c>
      <c r="D14" s="6" t="s">
        <v>907</v>
      </c>
      <c r="E14" s="6" t="s">
        <v>908</v>
      </c>
      <c r="F14" s="6" t="s">
        <v>910</v>
      </c>
      <c r="G14" s="6" t="s">
        <v>992</v>
      </c>
      <c r="H14" s="6" t="s">
        <v>913</v>
      </c>
      <c r="I14" s="6"/>
    </row>
    <row r="15">
      <c r="A15" s="54">
        <v>5.0</v>
      </c>
      <c r="B15" s="55">
        <v>12.5</v>
      </c>
      <c r="C15" s="56">
        <v>8.08</v>
      </c>
      <c r="D15" s="56"/>
      <c r="E15" s="56"/>
      <c r="F15" s="56">
        <f t="shared" ref="F15:F16" si="4">IFERROR(AVERAGE(C15:E15),"")</f>
        <v>8.08</v>
      </c>
      <c r="G15" s="57" t="str">
        <f t="shared" ref="G15:G16" si="5">IFERROR(STDEV(C15:E15),"")</f>
        <v/>
      </c>
      <c r="H15" s="58">
        <f t="shared" ref="H15:H16" si="6">IFERROR(F15-$F$15,"")</f>
        <v>0</v>
      </c>
    </row>
    <row r="16">
      <c r="A16" s="54">
        <v>1.0</v>
      </c>
      <c r="B16" s="55">
        <v>2.5</v>
      </c>
      <c r="C16" s="56">
        <v>7.93</v>
      </c>
      <c r="D16" s="56">
        <v>7.93</v>
      </c>
      <c r="E16" s="56">
        <v>7.93</v>
      </c>
      <c r="F16" s="56">
        <f t="shared" si="4"/>
        <v>7.93</v>
      </c>
      <c r="G16" s="57">
        <f t="shared" si="5"/>
        <v>0</v>
      </c>
      <c r="H16" s="58">
        <f t="shared" si="6"/>
        <v>-0.15</v>
      </c>
    </row>
    <row r="18" ht="25.5" customHeight="1">
      <c r="A18" s="64" t="s">
        <v>1116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A2:I2"/>
    <mergeCell ref="A4:I4"/>
    <mergeCell ref="A11:D11"/>
    <mergeCell ref="A13:I13"/>
    <mergeCell ref="A18:I1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2.0"/>
    <col customWidth="1" min="3" max="9" width="4.0"/>
    <col customWidth="1" min="10" max="26" width="8.71"/>
  </cols>
  <sheetData>
    <row r="1">
      <c r="A1" s="2" t="s">
        <v>1152</v>
      </c>
    </row>
    <row r="2">
      <c r="A2" s="4" t="s">
        <v>1154</v>
      </c>
    </row>
    <row r="4" ht="31.5" customHeight="1">
      <c r="A4" s="6" t="s">
        <v>1155</v>
      </c>
      <c r="B4" s="6" t="s">
        <v>1156</v>
      </c>
      <c r="C4" s="6"/>
      <c r="D4" s="6"/>
      <c r="E4" s="6"/>
      <c r="F4" s="6"/>
      <c r="G4" s="6"/>
      <c r="H4" s="6"/>
      <c r="I4" s="6"/>
    </row>
    <row r="5" ht="27.75" customHeight="1">
      <c r="A5" s="25" t="s">
        <v>1159</v>
      </c>
      <c r="B5" s="26" t="s">
        <v>1160</v>
      </c>
    </row>
    <row r="6" ht="27.75" customHeight="1">
      <c r="A6" s="25" t="s">
        <v>1161</v>
      </c>
      <c r="B6" s="26" t="s">
        <v>1162</v>
      </c>
    </row>
    <row r="7" ht="27.75" customHeight="1">
      <c r="A7" s="25" t="s">
        <v>7</v>
      </c>
      <c r="B7" s="26" t="s">
        <v>1163</v>
      </c>
    </row>
    <row r="8" ht="27.75" customHeight="1">
      <c r="A8" s="25" t="s">
        <v>1165</v>
      </c>
      <c r="B8" s="26" t="s">
        <v>1166</v>
      </c>
    </row>
    <row r="9" ht="27.75" customHeight="1">
      <c r="A9" s="25" t="s">
        <v>17</v>
      </c>
      <c r="B9" s="26" t="s">
        <v>1168</v>
      </c>
    </row>
    <row r="10" ht="27.75" customHeight="1">
      <c r="A10" s="25" t="s">
        <v>1169</v>
      </c>
      <c r="B10" s="26" t="s">
        <v>1170</v>
      </c>
    </row>
    <row r="11" ht="27.75" customHeight="1">
      <c r="A11" s="25" t="s">
        <v>1171</v>
      </c>
      <c r="B11" s="26" t="s">
        <v>1172</v>
      </c>
    </row>
    <row r="12" ht="27.75" customHeight="1">
      <c r="A12" s="25" t="s">
        <v>1174</v>
      </c>
      <c r="B12" s="26" t="s">
        <v>1175</v>
      </c>
    </row>
    <row r="13" ht="27.75" customHeight="1">
      <c r="A13" s="25" t="s">
        <v>1177</v>
      </c>
      <c r="B13" s="26" t="s">
        <v>1178</v>
      </c>
    </row>
    <row r="14" ht="27.75" customHeight="1">
      <c r="A14" s="25" t="s">
        <v>1179</v>
      </c>
      <c r="B14" s="26" t="s">
        <v>1180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3" width="13.0"/>
    <col customWidth="1" min="4" max="4" width="10.0"/>
    <col customWidth="1" min="5" max="5" width="12.0"/>
    <col customWidth="1" min="6" max="6" width="13.0"/>
    <col customWidth="1" min="7" max="7" width="7.86"/>
    <col customWidth="1" min="8" max="8" width="26.0"/>
    <col customWidth="1" min="9" max="26" width="8.71"/>
  </cols>
  <sheetData>
    <row r="1">
      <c r="A1" s="68" t="s">
        <v>1217</v>
      </c>
    </row>
    <row r="2">
      <c r="A2" s="69" t="s">
        <v>1219</v>
      </c>
    </row>
    <row r="3">
      <c r="A3" s="70"/>
      <c r="B3" s="70"/>
      <c r="C3" s="70"/>
      <c r="D3" s="70"/>
      <c r="E3" s="70"/>
      <c r="F3" s="70"/>
      <c r="G3" s="70"/>
      <c r="H3" s="70"/>
      <c r="I3" s="70"/>
    </row>
    <row r="4">
      <c r="A4" s="71" t="s">
        <v>1222</v>
      </c>
      <c r="I4" s="70"/>
    </row>
    <row r="5" ht="31.5" customHeight="1">
      <c r="A5" s="72" t="s">
        <v>1223</v>
      </c>
      <c r="B5" s="72" t="s">
        <v>6</v>
      </c>
      <c r="C5" s="72" t="s">
        <v>7</v>
      </c>
      <c r="D5" s="72" t="s">
        <v>8</v>
      </c>
      <c r="E5" s="72" t="s">
        <v>10</v>
      </c>
      <c r="F5" s="72" t="s">
        <v>1226</v>
      </c>
      <c r="G5" s="73"/>
      <c r="H5" s="72" t="s">
        <v>13</v>
      </c>
      <c r="I5" s="70"/>
    </row>
    <row r="6">
      <c r="A6" s="74">
        <v>1.0</v>
      </c>
      <c r="B6" s="75">
        <v>46363.0</v>
      </c>
      <c r="C6" s="74" t="s">
        <v>1228</v>
      </c>
      <c r="D6" s="74">
        <v>100.0</v>
      </c>
      <c r="E6" s="76">
        <v>9.95</v>
      </c>
      <c r="F6" s="76">
        <v>7.79</v>
      </c>
      <c r="G6" s="70"/>
      <c r="H6" s="77" t="s">
        <v>1229</v>
      </c>
      <c r="I6" s="70"/>
    </row>
    <row r="7">
      <c r="A7" s="74">
        <v>2.0</v>
      </c>
      <c r="B7" s="75">
        <v>46363.0</v>
      </c>
      <c r="C7" s="74" t="s">
        <v>1228</v>
      </c>
      <c r="D7" s="74">
        <v>100.0</v>
      </c>
      <c r="E7" s="76">
        <v>9.95</v>
      </c>
      <c r="F7" s="76">
        <v>7.72</v>
      </c>
      <c r="G7" s="70"/>
      <c r="H7" s="77" t="s">
        <v>1231</v>
      </c>
      <c r="I7" s="70"/>
    </row>
    <row r="8">
      <c r="A8" s="74">
        <v>3.0</v>
      </c>
      <c r="B8" s="75">
        <v>46363.0</v>
      </c>
      <c r="C8" s="74" t="s">
        <v>1228</v>
      </c>
      <c r="D8" s="74">
        <v>100.0</v>
      </c>
      <c r="E8" s="76">
        <v>9.95</v>
      </c>
      <c r="F8" s="76">
        <v>7.75</v>
      </c>
      <c r="G8" s="70"/>
      <c r="H8" s="78"/>
      <c r="I8" s="70"/>
    </row>
    <row r="9">
      <c r="A9" s="74">
        <v>4.0</v>
      </c>
      <c r="B9" s="75">
        <v>46363.0</v>
      </c>
      <c r="C9" s="74" t="s">
        <v>1228</v>
      </c>
      <c r="D9" s="74">
        <v>100.0</v>
      </c>
      <c r="E9" s="76">
        <v>9.96</v>
      </c>
      <c r="F9" s="76">
        <v>7.86</v>
      </c>
      <c r="G9" s="70"/>
      <c r="H9" s="78"/>
      <c r="I9" s="70"/>
    </row>
    <row r="10">
      <c r="A10" s="74">
        <v>5.0</v>
      </c>
      <c r="B10" s="75">
        <v>46363.0</v>
      </c>
      <c r="C10" s="74" t="s">
        <v>1228</v>
      </c>
      <c r="D10" s="74">
        <v>100.0</v>
      </c>
      <c r="E10" s="76">
        <v>9.94</v>
      </c>
      <c r="F10" s="76">
        <v>7.73</v>
      </c>
      <c r="G10" s="70"/>
      <c r="H10" s="78"/>
      <c r="I10" s="70"/>
    </row>
    <row r="11">
      <c r="A11" s="74">
        <v>6.0</v>
      </c>
      <c r="B11" s="74" t="s">
        <v>1234</v>
      </c>
      <c r="C11" s="74" t="s">
        <v>1235</v>
      </c>
      <c r="D11" s="74">
        <v>98.8</v>
      </c>
      <c r="E11" s="76">
        <v>10.06</v>
      </c>
      <c r="F11" s="76">
        <v>7.87</v>
      </c>
      <c r="G11" s="70"/>
      <c r="H11" s="79"/>
      <c r="I11" s="70"/>
    </row>
    <row r="12">
      <c r="A12" s="74">
        <v>7.0</v>
      </c>
      <c r="B12" s="74" t="s">
        <v>1234</v>
      </c>
      <c r="C12" s="74" t="s">
        <v>1235</v>
      </c>
      <c r="D12" s="74">
        <v>98.8</v>
      </c>
      <c r="E12" s="76">
        <v>10.06</v>
      </c>
      <c r="F12" s="76">
        <v>7.9</v>
      </c>
      <c r="G12" s="70"/>
      <c r="H12" s="78"/>
      <c r="I12" s="70"/>
    </row>
    <row r="13">
      <c r="A13" s="74">
        <v>8.0</v>
      </c>
      <c r="B13" s="74" t="s">
        <v>1234</v>
      </c>
      <c r="C13" s="74" t="s">
        <v>1235</v>
      </c>
      <c r="D13" s="74">
        <v>98.8</v>
      </c>
      <c r="E13" s="76">
        <v>10.06</v>
      </c>
      <c r="F13" s="76">
        <v>8.1</v>
      </c>
      <c r="G13" s="70"/>
      <c r="H13" s="78"/>
      <c r="I13" s="70"/>
    </row>
    <row r="14">
      <c r="A14" s="74">
        <v>9.0</v>
      </c>
      <c r="B14" s="74" t="s">
        <v>1234</v>
      </c>
      <c r="C14" s="74" t="s">
        <v>1235</v>
      </c>
      <c r="D14" s="74">
        <v>98.8</v>
      </c>
      <c r="E14" s="76">
        <v>10.06</v>
      </c>
      <c r="F14" s="76">
        <v>7.55</v>
      </c>
      <c r="G14" s="70"/>
      <c r="H14" s="78"/>
      <c r="I14" s="70"/>
    </row>
    <row r="15">
      <c r="A15" s="74">
        <v>10.0</v>
      </c>
      <c r="B15" s="74" t="s">
        <v>1234</v>
      </c>
      <c r="C15" s="74" t="s">
        <v>1235</v>
      </c>
      <c r="D15" s="74">
        <v>98.8</v>
      </c>
      <c r="E15" s="76">
        <v>10.06</v>
      </c>
      <c r="F15" s="76">
        <v>7.51</v>
      </c>
      <c r="G15" s="70"/>
      <c r="H15" s="78"/>
      <c r="I15" s="70"/>
    </row>
    <row r="16">
      <c r="A16" s="74">
        <v>11.0</v>
      </c>
      <c r="B16" s="74" t="s">
        <v>1234</v>
      </c>
      <c r="C16" s="74" t="s">
        <v>1235</v>
      </c>
      <c r="D16" s="74">
        <v>98.0</v>
      </c>
      <c r="E16" s="76">
        <v>10.06</v>
      </c>
      <c r="F16" s="76">
        <v>7.59</v>
      </c>
      <c r="G16" s="70"/>
      <c r="H16" s="78"/>
      <c r="I16" s="70"/>
    </row>
    <row r="17">
      <c r="A17" s="74">
        <v>12.0</v>
      </c>
      <c r="B17" s="74" t="s">
        <v>1234</v>
      </c>
      <c r="C17" s="74" t="s">
        <v>1235</v>
      </c>
      <c r="D17" s="74">
        <v>98.0</v>
      </c>
      <c r="E17" s="76">
        <v>10.06</v>
      </c>
      <c r="F17" s="76">
        <v>8.05</v>
      </c>
      <c r="G17" s="70"/>
      <c r="H17" s="78"/>
      <c r="I17" s="70"/>
    </row>
    <row r="18">
      <c r="A18" s="74">
        <v>13.0</v>
      </c>
      <c r="B18" s="74" t="s">
        <v>1239</v>
      </c>
      <c r="C18" s="74" t="s">
        <v>1241</v>
      </c>
      <c r="D18" s="74">
        <v>95.5</v>
      </c>
      <c r="E18" s="74">
        <v>10.04</v>
      </c>
      <c r="F18" s="74">
        <v>7.57</v>
      </c>
      <c r="G18" s="70"/>
      <c r="H18" s="77" t="s">
        <v>1242</v>
      </c>
      <c r="I18" s="70"/>
    </row>
    <row r="19">
      <c r="A19" s="74">
        <v>14.0</v>
      </c>
      <c r="B19" s="74" t="s">
        <v>1239</v>
      </c>
      <c r="C19" s="74" t="s">
        <v>1241</v>
      </c>
      <c r="D19" s="74">
        <v>95.5</v>
      </c>
      <c r="E19" s="74">
        <v>10.04</v>
      </c>
      <c r="F19" s="74">
        <v>7.68</v>
      </c>
      <c r="G19" s="70"/>
      <c r="H19" s="80"/>
      <c r="I19" s="70"/>
    </row>
    <row r="20">
      <c r="A20" s="74">
        <v>15.0</v>
      </c>
      <c r="B20" s="74" t="s">
        <v>1239</v>
      </c>
      <c r="C20" s="74" t="s">
        <v>1241</v>
      </c>
      <c r="D20" s="74">
        <v>95.5</v>
      </c>
      <c r="E20" s="74">
        <v>10.03</v>
      </c>
      <c r="F20" s="74">
        <v>7.7</v>
      </c>
      <c r="G20" s="70"/>
      <c r="H20" s="81"/>
      <c r="I20" s="70"/>
    </row>
    <row r="21">
      <c r="A21" s="74">
        <v>16.0</v>
      </c>
      <c r="B21" s="74" t="s">
        <v>1245</v>
      </c>
      <c r="C21" s="74" t="s">
        <v>1241</v>
      </c>
      <c r="D21" s="74">
        <v>97.1</v>
      </c>
      <c r="E21" s="76">
        <v>10.06</v>
      </c>
      <c r="F21" s="74">
        <v>7.5</v>
      </c>
      <c r="G21" s="82"/>
      <c r="H21" s="82"/>
      <c r="I21" s="70"/>
    </row>
    <row r="22" ht="15.0" customHeight="1">
      <c r="A22" s="74">
        <v>17.0</v>
      </c>
      <c r="B22" s="74" t="s">
        <v>1246</v>
      </c>
      <c r="C22" s="74" t="s">
        <v>1241</v>
      </c>
      <c r="D22" s="74">
        <v>97.1</v>
      </c>
      <c r="E22" s="76">
        <v>10.06</v>
      </c>
      <c r="F22" s="74">
        <v>7.57</v>
      </c>
      <c r="G22" s="82"/>
      <c r="H22" s="82"/>
      <c r="I22" s="70"/>
    </row>
    <row r="23" ht="15.75" customHeight="1">
      <c r="A23" s="74">
        <v>18.0</v>
      </c>
      <c r="B23" s="74" t="s">
        <v>1248</v>
      </c>
      <c r="C23" s="74" t="s">
        <v>1235</v>
      </c>
      <c r="D23" s="74">
        <v>97.1</v>
      </c>
      <c r="E23" s="76">
        <v>10.06</v>
      </c>
      <c r="F23" s="76">
        <v>8.06</v>
      </c>
      <c r="G23" s="83"/>
      <c r="H23" s="83"/>
      <c r="I23" s="70"/>
    </row>
    <row r="24" ht="15.75" customHeight="1">
      <c r="A24" s="74">
        <v>19.0</v>
      </c>
      <c r="B24" s="74" t="s">
        <v>1251</v>
      </c>
      <c r="C24" s="74" t="s">
        <v>1235</v>
      </c>
      <c r="D24" s="74">
        <v>97.1</v>
      </c>
      <c r="E24" s="76">
        <v>10.04</v>
      </c>
      <c r="F24" s="76">
        <v>7.98</v>
      </c>
      <c r="G24" s="83"/>
      <c r="H24" s="83"/>
      <c r="I24" s="70"/>
    </row>
    <row r="25" ht="15.75" customHeight="1">
      <c r="A25" s="74">
        <v>20.0</v>
      </c>
      <c r="B25" s="74" t="s">
        <v>1251</v>
      </c>
      <c r="C25" s="74" t="s">
        <v>1235</v>
      </c>
      <c r="D25" s="74">
        <v>97.1</v>
      </c>
      <c r="E25" s="76">
        <v>10.06</v>
      </c>
      <c r="F25" s="76">
        <v>8.06</v>
      </c>
      <c r="G25" s="83"/>
      <c r="H25" s="83"/>
      <c r="I25" s="70"/>
    </row>
    <row r="26" ht="15.75" customHeight="1">
      <c r="A26" s="74">
        <v>21.0</v>
      </c>
      <c r="B26" s="74" t="s">
        <v>1255</v>
      </c>
      <c r="C26" s="74" t="s">
        <v>1241</v>
      </c>
      <c r="D26" s="74">
        <v>97.7</v>
      </c>
      <c r="E26" s="74">
        <v>10.06</v>
      </c>
      <c r="F26" s="74">
        <v>8.0</v>
      </c>
      <c r="G26" s="71"/>
      <c r="H26" s="71"/>
      <c r="I26" s="70"/>
    </row>
    <row r="27" ht="15.75" customHeight="1">
      <c r="A27" s="74">
        <v>22.0</v>
      </c>
      <c r="B27" s="74" t="s">
        <v>1257</v>
      </c>
      <c r="C27" s="74" t="s">
        <v>1241</v>
      </c>
      <c r="D27" s="74">
        <v>97.9</v>
      </c>
      <c r="E27" s="76">
        <v>10.06</v>
      </c>
      <c r="F27" s="74">
        <v>7.77</v>
      </c>
      <c r="G27" s="71"/>
      <c r="H27" s="71"/>
      <c r="I27" s="70"/>
    </row>
    <row r="28" ht="15.75" customHeight="1">
      <c r="A28" s="74">
        <v>23.0</v>
      </c>
      <c r="B28" s="74" t="s">
        <v>1261</v>
      </c>
      <c r="C28" s="74" t="s">
        <v>1263</v>
      </c>
      <c r="D28" s="74">
        <v>98.0</v>
      </c>
      <c r="E28" s="76">
        <v>10.06</v>
      </c>
      <c r="F28" s="74">
        <v>7.69</v>
      </c>
      <c r="G28" s="71"/>
      <c r="H28" s="71"/>
      <c r="I28" s="70"/>
    </row>
    <row r="29" ht="15.75" customHeight="1">
      <c r="A29" s="74">
        <v>24.0</v>
      </c>
      <c r="B29" s="74" t="s">
        <v>1264</v>
      </c>
      <c r="C29" s="74" t="s">
        <v>1263</v>
      </c>
      <c r="D29" s="74">
        <v>98.0</v>
      </c>
      <c r="E29" s="76">
        <v>10.06</v>
      </c>
      <c r="F29" s="76">
        <v>7.95</v>
      </c>
      <c r="G29" s="71"/>
      <c r="H29" s="71"/>
      <c r="I29" s="70"/>
    </row>
    <row r="30" ht="15.75" customHeight="1">
      <c r="A30" s="74">
        <v>25.0</v>
      </c>
      <c r="B30" s="74" t="s">
        <v>1268</v>
      </c>
      <c r="C30" s="74" t="s">
        <v>1270</v>
      </c>
      <c r="D30" s="74">
        <v>97.9</v>
      </c>
      <c r="E30" s="76">
        <v>10.07</v>
      </c>
      <c r="F30" s="76">
        <v>7.98</v>
      </c>
      <c r="G30" s="71"/>
      <c r="H30" s="71"/>
      <c r="I30" s="70"/>
    </row>
    <row r="31" ht="15.75" customHeight="1">
      <c r="A31" s="74">
        <v>26.0</v>
      </c>
      <c r="B31" s="74" t="s">
        <v>1268</v>
      </c>
      <c r="C31" s="74" t="s">
        <v>1270</v>
      </c>
      <c r="D31" s="74">
        <v>97.9</v>
      </c>
      <c r="E31" s="76">
        <v>10.07</v>
      </c>
      <c r="F31" s="76">
        <v>7.67</v>
      </c>
      <c r="G31" s="71"/>
      <c r="H31" s="71"/>
      <c r="I31" s="70"/>
    </row>
    <row r="32" ht="15.75" customHeight="1">
      <c r="A32" s="74">
        <v>27.0</v>
      </c>
      <c r="B32" s="74" t="s">
        <v>1274</v>
      </c>
      <c r="C32" s="74" t="s">
        <v>1275</v>
      </c>
      <c r="D32" s="74">
        <v>97.4</v>
      </c>
      <c r="E32" s="76">
        <v>10.06</v>
      </c>
      <c r="F32" s="76">
        <v>7.58</v>
      </c>
      <c r="G32" s="71"/>
      <c r="H32" s="71"/>
      <c r="I32" s="70"/>
    </row>
    <row r="33" ht="15.75" customHeight="1">
      <c r="A33" s="74">
        <v>28.0</v>
      </c>
      <c r="B33" s="74" t="s">
        <v>1274</v>
      </c>
      <c r="C33" s="74" t="s">
        <v>1275</v>
      </c>
      <c r="D33" s="74">
        <v>97.4</v>
      </c>
      <c r="E33" s="76">
        <v>10.06</v>
      </c>
      <c r="F33" s="76">
        <v>7.78</v>
      </c>
      <c r="G33" s="71"/>
      <c r="H33" s="71"/>
      <c r="I33" s="70"/>
    </row>
    <row r="34" ht="15.75" customHeight="1">
      <c r="A34" s="74">
        <v>29.0</v>
      </c>
      <c r="B34" s="74" t="s">
        <v>1278</v>
      </c>
      <c r="C34" s="74" t="s">
        <v>1279</v>
      </c>
      <c r="D34" s="74">
        <v>96.1</v>
      </c>
      <c r="E34" s="76">
        <v>10.06</v>
      </c>
      <c r="F34" s="76">
        <v>8.06</v>
      </c>
      <c r="G34" s="71"/>
      <c r="H34" s="71"/>
      <c r="I34" s="70"/>
    </row>
    <row r="35" ht="15.75" customHeight="1">
      <c r="A35" s="74">
        <v>30.0</v>
      </c>
      <c r="B35" s="74" t="s">
        <v>1278</v>
      </c>
      <c r="C35" s="74" t="s">
        <v>1279</v>
      </c>
      <c r="D35" s="74">
        <v>96.1</v>
      </c>
      <c r="E35" s="76">
        <v>10.07</v>
      </c>
      <c r="F35" s="76">
        <v>8.0</v>
      </c>
      <c r="G35" s="71"/>
      <c r="H35" s="71"/>
      <c r="I35" s="70"/>
    </row>
    <row r="36" ht="15.75" customHeight="1">
      <c r="A36" s="74">
        <v>31.0</v>
      </c>
      <c r="B36" s="74" t="s">
        <v>1281</v>
      </c>
      <c r="C36" s="74" t="s">
        <v>1282</v>
      </c>
      <c r="D36" s="74">
        <v>98.1</v>
      </c>
      <c r="E36" s="76">
        <v>10.04</v>
      </c>
      <c r="F36" s="76">
        <v>8.02</v>
      </c>
      <c r="G36" s="71"/>
      <c r="H36" s="71"/>
      <c r="I36" s="70"/>
    </row>
    <row r="37" ht="15.75" customHeight="1">
      <c r="A37" s="74">
        <v>32.0</v>
      </c>
      <c r="B37" s="74" t="s">
        <v>1281</v>
      </c>
      <c r="C37" s="74" t="s">
        <v>1282</v>
      </c>
      <c r="D37" s="74">
        <v>98.1</v>
      </c>
      <c r="E37" s="76">
        <v>10.06</v>
      </c>
      <c r="F37" s="76">
        <v>8.09</v>
      </c>
      <c r="G37" s="71"/>
      <c r="H37" s="71"/>
      <c r="I37" s="70"/>
    </row>
    <row r="38" ht="15.75" customHeight="1">
      <c r="A38" s="74">
        <v>33.0</v>
      </c>
      <c r="B38" s="74" t="s">
        <v>1284</v>
      </c>
      <c r="C38" s="74" t="s">
        <v>1286</v>
      </c>
      <c r="D38" s="74">
        <v>97.6</v>
      </c>
      <c r="E38" s="76">
        <v>10.03</v>
      </c>
      <c r="F38" s="76">
        <v>8.1</v>
      </c>
      <c r="G38" s="71"/>
      <c r="H38" s="71"/>
      <c r="I38" s="70"/>
    </row>
    <row r="39" ht="15.75" customHeight="1">
      <c r="A39" s="74">
        <v>34.0</v>
      </c>
      <c r="B39" s="74" t="s">
        <v>1284</v>
      </c>
      <c r="C39" s="74" t="s">
        <v>1286</v>
      </c>
      <c r="D39" s="74">
        <v>97.6</v>
      </c>
      <c r="E39" s="76">
        <v>10.06</v>
      </c>
      <c r="F39" s="76">
        <v>8.02</v>
      </c>
      <c r="G39" s="71"/>
      <c r="H39" s="71"/>
      <c r="I39" s="70"/>
    </row>
    <row r="40" ht="15.75" customHeight="1">
      <c r="A40" s="74">
        <v>35.0</v>
      </c>
      <c r="B40" s="74" t="s">
        <v>1284</v>
      </c>
      <c r="C40" s="74" t="s">
        <v>1286</v>
      </c>
      <c r="D40" s="74">
        <v>97.6</v>
      </c>
      <c r="E40" s="74">
        <v>10.05</v>
      </c>
      <c r="F40" s="74">
        <v>7.98</v>
      </c>
      <c r="G40" s="71"/>
      <c r="H40" s="71"/>
      <c r="I40" s="70"/>
    </row>
    <row r="41" ht="15.75" customHeight="1">
      <c r="A41" s="74">
        <v>36.0</v>
      </c>
      <c r="B41" s="74" t="s">
        <v>1288</v>
      </c>
      <c r="C41" s="74" t="s">
        <v>1289</v>
      </c>
      <c r="D41" s="74">
        <v>97.9</v>
      </c>
      <c r="E41" s="74">
        <v>10.06</v>
      </c>
      <c r="F41" s="74">
        <v>8.11</v>
      </c>
      <c r="G41" s="71"/>
      <c r="H41" s="71"/>
      <c r="I41" s="70"/>
    </row>
    <row r="42" ht="15.75" customHeight="1">
      <c r="A42" s="74">
        <v>37.0</v>
      </c>
      <c r="B42" s="74" t="s">
        <v>1288</v>
      </c>
      <c r="C42" s="74" t="s">
        <v>1289</v>
      </c>
      <c r="D42" s="74">
        <v>97.9</v>
      </c>
      <c r="E42" s="74">
        <v>10.06</v>
      </c>
      <c r="F42" s="74">
        <v>7.7</v>
      </c>
      <c r="G42" s="71"/>
      <c r="H42" s="71"/>
      <c r="I42" s="70"/>
    </row>
    <row r="43" ht="15.75" customHeight="1">
      <c r="A43" s="74">
        <v>38.0</v>
      </c>
      <c r="B43" s="74" t="s">
        <v>1291</v>
      </c>
      <c r="C43" s="74" t="s">
        <v>1289</v>
      </c>
      <c r="D43" s="74">
        <v>97.9</v>
      </c>
      <c r="E43" s="74">
        <v>10.06</v>
      </c>
      <c r="F43" s="74">
        <v>7.92</v>
      </c>
      <c r="G43" s="71"/>
      <c r="H43" s="71"/>
      <c r="I43" s="70"/>
    </row>
    <row r="44" ht="15.75" customHeight="1">
      <c r="A44" s="74">
        <v>39.0</v>
      </c>
      <c r="B44" s="74" t="s">
        <v>1293</v>
      </c>
      <c r="C44" s="74" t="s">
        <v>1294</v>
      </c>
      <c r="D44" s="74">
        <v>97.7</v>
      </c>
      <c r="E44" s="74">
        <v>10.03</v>
      </c>
      <c r="F44" s="74">
        <v>7.45</v>
      </c>
      <c r="G44" s="71"/>
      <c r="H44" s="71"/>
      <c r="I44" s="70"/>
    </row>
    <row r="45" ht="15.75" customHeight="1">
      <c r="A45" s="74">
        <v>40.0</v>
      </c>
      <c r="B45" s="74" t="s">
        <v>1293</v>
      </c>
      <c r="C45" s="74" t="s">
        <v>1294</v>
      </c>
      <c r="D45" s="74">
        <v>97.7</v>
      </c>
      <c r="E45" s="74">
        <v>10.04</v>
      </c>
      <c r="F45" s="74">
        <v>8.22</v>
      </c>
      <c r="G45" s="71"/>
      <c r="H45" s="71"/>
      <c r="I45" s="70"/>
    </row>
    <row r="46" ht="15.75" customHeight="1">
      <c r="A46" s="74">
        <v>41.0</v>
      </c>
      <c r="B46" s="74" t="s">
        <v>1296</v>
      </c>
      <c r="C46" s="74" t="s">
        <v>1298</v>
      </c>
      <c r="D46" s="74">
        <v>97.6</v>
      </c>
      <c r="E46" s="74">
        <v>10.03</v>
      </c>
      <c r="F46" s="74">
        <v>8.19</v>
      </c>
      <c r="G46" s="71"/>
      <c r="H46" s="71"/>
      <c r="I46" s="70"/>
    </row>
    <row r="47" ht="15.75" customHeight="1">
      <c r="A47" s="74">
        <v>42.0</v>
      </c>
      <c r="B47" s="74" t="s">
        <v>1299</v>
      </c>
      <c r="C47" s="74" t="s">
        <v>1298</v>
      </c>
      <c r="D47" s="74">
        <v>97.6</v>
      </c>
      <c r="E47" s="74">
        <v>10.07</v>
      </c>
      <c r="F47" s="74">
        <v>8.08</v>
      </c>
      <c r="G47" s="71"/>
      <c r="H47" s="71"/>
      <c r="I47" s="70"/>
    </row>
    <row r="48" ht="15.75" customHeight="1">
      <c r="A48" s="74">
        <v>43.0</v>
      </c>
      <c r="B48" s="74" t="s">
        <v>1302</v>
      </c>
      <c r="C48" s="74" t="s">
        <v>1298</v>
      </c>
      <c r="D48" s="74">
        <v>97.6</v>
      </c>
      <c r="E48" s="74">
        <v>10.05</v>
      </c>
      <c r="F48" s="74">
        <v>8.2</v>
      </c>
      <c r="G48" s="71"/>
      <c r="H48" s="71"/>
      <c r="I48" s="70"/>
    </row>
    <row r="49" ht="15.75" customHeight="1">
      <c r="A49" s="74">
        <v>44.0</v>
      </c>
      <c r="B49" s="74" t="s">
        <v>1305</v>
      </c>
      <c r="C49" s="74" t="s">
        <v>1306</v>
      </c>
      <c r="D49" s="74">
        <v>97.0</v>
      </c>
      <c r="E49" s="74">
        <v>10.05</v>
      </c>
      <c r="F49" s="74">
        <v>7.67</v>
      </c>
      <c r="G49" s="71"/>
      <c r="H49" s="71"/>
      <c r="I49" s="70"/>
    </row>
    <row r="50" ht="15.75" customHeight="1">
      <c r="A50" s="74">
        <v>45.0</v>
      </c>
      <c r="B50" s="74" t="s">
        <v>1305</v>
      </c>
      <c r="C50" s="74" t="s">
        <v>1306</v>
      </c>
      <c r="D50" s="74">
        <v>97.0</v>
      </c>
      <c r="E50" s="74">
        <v>10.03</v>
      </c>
      <c r="F50" s="74">
        <v>8.28</v>
      </c>
      <c r="G50" s="71"/>
      <c r="H50" s="71"/>
      <c r="I50" s="70"/>
    </row>
    <row r="51" ht="15.75" customHeight="1">
      <c r="A51" s="74">
        <v>46.0</v>
      </c>
      <c r="B51" s="74" t="s">
        <v>1305</v>
      </c>
      <c r="C51" s="74" t="s">
        <v>1306</v>
      </c>
      <c r="D51" s="74">
        <v>97.0</v>
      </c>
      <c r="E51" s="74">
        <v>10.04</v>
      </c>
      <c r="F51" s="74">
        <v>8.09</v>
      </c>
      <c r="G51" s="71"/>
      <c r="H51" s="71"/>
      <c r="I51" s="70"/>
    </row>
    <row r="52" ht="15.75" customHeight="1">
      <c r="A52" s="71" t="s">
        <v>1308</v>
      </c>
      <c r="B52" s="71"/>
      <c r="C52" s="71"/>
      <c r="D52" s="71"/>
      <c r="E52" s="71"/>
      <c r="F52" s="76"/>
      <c r="G52" s="71"/>
      <c r="H52" s="71"/>
      <c r="I52" s="70"/>
    </row>
    <row r="53" ht="15.75" customHeight="1">
      <c r="A53" s="93" t="s">
        <v>1310</v>
      </c>
      <c r="B53" s="94">
        <v>28.0</v>
      </c>
      <c r="C53" s="95"/>
      <c r="D53" s="70"/>
      <c r="E53" s="96" t="s">
        <v>1312</v>
      </c>
      <c r="I53" s="70"/>
    </row>
    <row r="54" ht="15.75" customHeight="1">
      <c r="A54" s="93" t="s">
        <v>1313</v>
      </c>
      <c r="B54" s="97">
        <v>7.76</v>
      </c>
      <c r="C54" s="98"/>
      <c r="D54" s="70"/>
      <c r="I54" s="70"/>
    </row>
    <row r="55" ht="15.75" customHeight="1">
      <c r="A55" s="93" t="s">
        <v>992</v>
      </c>
      <c r="B55" s="97">
        <v>0.18</v>
      </c>
      <c r="C55" s="98"/>
      <c r="D55" s="70"/>
      <c r="I55" s="70"/>
    </row>
    <row r="56" ht="15.75" customHeight="1">
      <c r="A56" s="100" t="s">
        <v>1318</v>
      </c>
      <c r="B56" s="101">
        <v>8.12</v>
      </c>
      <c r="C56" s="98"/>
      <c r="D56" s="70"/>
      <c r="I56" s="70"/>
    </row>
    <row r="57" ht="15.75" customHeight="1">
      <c r="A57" s="100" t="s">
        <v>1320</v>
      </c>
      <c r="B57" s="101">
        <v>7.4</v>
      </c>
      <c r="C57" s="98"/>
      <c r="D57" s="70"/>
      <c r="E57" s="70"/>
      <c r="F57" s="70"/>
      <c r="G57" s="70"/>
      <c r="H57" s="70"/>
      <c r="I57" s="70"/>
    </row>
    <row r="58" ht="15.75" customHeight="1">
      <c r="A58" s="100" t="s">
        <v>1321</v>
      </c>
      <c r="B58" s="102">
        <v>8.3</v>
      </c>
      <c r="C58" s="98"/>
      <c r="D58" s="70"/>
      <c r="E58" s="70"/>
      <c r="F58" s="70"/>
      <c r="G58" s="70"/>
      <c r="H58" s="70"/>
      <c r="I58" s="70"/>
    </row>
    <row r="59" ht="15.75" customHeight="1">
      <c r="A59" s="100" t="s">
        <v>1323</v>
      </c>
      <c r="B59" s="102">
        <v>7.22</v>
      </c>
      <c r="C59" s="98"/>
      <c r="D59" s="82"/>
      <c r="E59" s="82"/>
      <c r="F59" s="82"/>
      <c r="G59" s="82"/>
      <c r="H59" s="82"/>
      <c r="I59" s="70"/>
    </row>
    <row r="60" ht="15.75" customHeight="1">
      <c r="A60" s="82"/>
      <c r="B60" s="82"/>
      <c r="C60" s="82"/>
      <c r="D60" s="82"/>
      <c r="E60" s="82"/>
      <c r="F60" s="82"/>
      <c r="G60" s="82"/>
      <c r="H60" s="70"/>
      <c r="I60" s="70"/>
    </row>
    <row r="61" ht="15.75" customHeight="1">
      <c r="A61" s="71" t="s">
        <v>1325</v>
      </c>
      <c r="I61" s="70"/>
    </row>
    <row r="62" ht="15.75" customHeight="1">
      <c r="A62" s="72" t="s">
        <v>1326</v>
      </c>
      <c r="B62" s="72" t="s">
        <v>1327</v>
      </c>
      <c r="C62" s="72" t="s">
        <v>1329</v>
      </c>
      <c r="D62" s="72" t="s">
        <v>910</v>
      </c>
      <c r="E62" s="72" t="s">
        <v>992</v>
      </c>
      <c r="F62" s="72" t="s">
        <v>1266</v>
      </c>
      <c r="G62" s="72" t="s">
        <v>1330</v>
      </c>
      <c r="H62" s="103"/>
      <c r="I62" s="70"/>
    </row>
    <row r="63" ht="15.75" customHeight="1">
      <c r="A63" s="104" t="s">
        <v>1332</v>
      </c>
      <c r="B63" s="74" t="s">
        <v>1333</v>
      </c>
      <c r="C63" s="74">
        <v>5.0</v>
      </c>
      <c r="D63" s="105">
        <v>7.77</v>
      </c>
      <c r="E63" s="105">
        <v>0.057</v>
      </c>
      <c r="F63" s="74">
        <v>0.14</v>
      </c>
      <c r="G63" s="74" t="s">
        <v>1335</v>
      </c>
      <c r="H63" s="82"/>
      <c r="I63" s="70"/>
    </row>
    <row r="64" ht="15.75" customHeight="1">
      <c r="A64" s="104" t="s">
        <v>1336</v>
      </c>
      <c r="B64" s="74" t="s">
        <v>1337</v>
      </c>
      <c r="C64" s="74">
        <v>7.0</v>
      </c>
      <c r="D64" s="105">
        <v>7.8</v>
      </c>
      <c r="E64" s="105">
        <v>0.244</v>
      </c>
      <c r="F64" s="74">
        <v>0.59</v>
      </c>
      <c r="G64" s="74">
        <v>10.0</v>
      </c>
      <c r="H64" s="82"/>
      <c r="I64" s="70"/>
    </row>
    <row r="65" ht="15.75" customHeight="1">
      <c r="A65" s="104" t="s">
        <v>1341</v>
      </c>
      <c r="B65" s="74" t="s">
        <v>1342</v>
      </c>
      <c r="C65" s="74">
        <v>2.0</v>
      </c>
      <c r="D65" s="105">
        <v>7.63</v>
      </c>
      <c r="E65" s="105">
        <v>0.078</v>
      </c>
      <c r="F65" s="74">
        <v>0.11</v>
      </c>
      <c r="G65" s="74">
        <v>10.0</v>
      </c>
      <c r="H65" s="82"/>
      <c r="I65" s="70"/>
    </row>
    <row r="66" ht="15.75" customHeight="1">
      <c r="A66" s="104" t="s">
        <v>1344</v>
      </c>
      <c r="B66" s="74" t="s">
        <v>1342</v>
      </c>
      <c r="C66" s="74">
        <v>5.0</v>
      </c>
      <c r="D66" s="105">
        <v>7.63</v>
      </c>
      <c r="E66" s="105">
        <v>0.078</v>
      </c>
      <c r="F66" s="74">
        <v>0.11</v>
      </c>
      <c r="G66" s="74">
        <v>10.0</v>
      </c>
      <c r="H66" s="82"/>
      <c r="I66" s="70"/>
    </row>
    <row r="67" ht="15.75" customHeight="1">
      <c r="A67" s="96" t="s">
        <v>1346</v>
      </c>
      <c r="I67" s="70"/>
    </row>
    <row r="68" ht="15.75" customHeight="1">
      <c r="I68" s="70"/>
    </row>
    <row r="69" ht="15.75" customHeight="1">
      <c r="I69" s="70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</row>
    <row r="221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</row>
    <row r="222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</row>
    <row r="223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</row>
    <row r="224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</row>
    <row r="225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</row>
    <row r="2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</row>
    <row r="227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</row>
    <row r="22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</row>
    <row r="229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</row>
    <row r="230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</row>
    <row r="239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</row>
    <row r="240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</row>
    <row r="241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</row>
    <row r="242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</row>
    <row r="243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</row>
    <row r="26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</row>
    <row r="269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</row>
    <row r="270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</row>
    <row r="271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</row>
    <row r="272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</row>
    <row r="273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</row>
    <row r="274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</row>
    <row r="275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</row>
    <row r="27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</row>
    <row r="277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</row>
    <row r="27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</row>
    <row r="279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</row>
    <row r="280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</row>
    <row r="281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</row>
    <row r="282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</row>
    <row r="283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</row>
    <row r="284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</row>
    <row r="285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</row>
    <row r="286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</row>
    <row r="287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</row>
    <row r="28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</row>
    <row r="289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</row>
    <row r="290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</row>
    <row r="291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</row>
    <row r="292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</row>
    <row r="293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</row>
    <row r="294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</row>
    <row r="295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</row>
    <row r="296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</row>
    <row r="297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</row>
    <row r="29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</row>
    <row r="299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</row>
    <row r="300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</row>
    <row r="301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</row>
    <row r="302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</row>
    <row r="303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</row>
    <row r="304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</row>
    <row r="305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</row>
    <row r="306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</row>
    <row r="307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</row>
    <row r="30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</row>
    <row r="309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</row>
    <row r="310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</row>
    <row r="311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</row>
    <row r="312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</row>
    <row r="356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</row>
    <row r="357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</row>
    <row r="35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</row>
    <row r="359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</row>
    <row r="360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</row>
    <row r="361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</row>
    <row r="362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</row>
    <row r="363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</row>
    <row r="364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</row>
    <row r="365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</row>
    <row r="366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</row>
    <row r="367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</row>
    <row r="36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</row>
    <row r="369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</row>
    <row r="370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</row>
    <row r="371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</row>
    <row r="372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</row>
    <row r="373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</row>
    <row r="374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</row>
    <row r="375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</row>
    <row r="376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</row>
    <row r="377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</row>
    <row r="37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</row>
    <row r="379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</row>
    <row r="380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</row>
    <row r="381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</row>
    <row r="382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</row>
    <row r="383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</row>
    <row r="384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</row>
    <row r="385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</row>
    <row r="386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</row>
    <row r="387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</row>
    <row r="38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</row>
    <row r="389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</row>
    <row r="390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</row>
    <row r="391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</row>
    <row r="392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</row>
    <row r="393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</row>
    <row r="394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</row>
    <row r="395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</row>
    <row r="396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</row>
    <row r="397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</row>
    <row r="39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</row>
    <row r="399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</row>
    <row r="400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</row>
    <row r="401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</row>
    <row r="402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</row>
    <row r="403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</row>
    <row r="404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</row>
    <row r="405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</row>
    <row r="406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</row>
    <row r="407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</row>
    <row r="40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</row>
    <row r="409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</row>
    <row r="410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</row>
    <row r="411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</row>
    <row r="412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</row>
    <row r="413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</row>
    <row r="414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</row>
    <row r="415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</row>
    <row r="416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</row>
    <row r="417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</row>
    <row r="41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</row>
    <row r="419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</row>
    <row r="420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</row>
    <row r="421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</row>
    <row r="422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</row>
    <row r="423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</row>
    <row r="424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</row>
    <row r="425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</row>
    <row r="426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</row>
    <row r="427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</row>
    <row r="42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</row>
    <row r="429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</row>
    <row r="430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</row>
    <row r="431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</row>
    <row r="432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</row>
    <row r="433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</row>
    <row r="434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</row>
    <row r="435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</row>
    <row r="436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</row>
    <row r="437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</row>
    <row r="4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</row>
    <row r="439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</row>
    <row r="440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</row>
    <row r="441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</row>
    <row r="442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</row>
    <row r="443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</row>
    <row r="444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</row>
    <row r="445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</row>
    <row r="446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</row>
    <row r="447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</row>
    <row r="44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</row>
    <row r="449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</row>
    <row r="450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</row>
    <row r="451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</row>
    <row r="452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</row>
    <row r="453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</row>
    <row r="454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</row>
    <row r="455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</row>
    <row r="456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</row>
    <row r="457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</row>
    <row r="45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</row>
    <row r="459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</row>
    <row r="460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</row>
    <row r="461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</row>
    <row r="462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</row>
    <row r="463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</row>
    <row r="464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</row>
    <row r="465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</row>
    <row r="466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</row>
    <row r="467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</row>
    <row r="46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</row>
    <row r="469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</row>
    <row r="470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</row>
    <row r="471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</row>
    <row r="472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</row>
    <row r="473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</row>
    <row r="474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</row>
    <row r="475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</row>
    <row r="476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</row>
    <row r="477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</row>
    <row r="47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</row>
    <row r="479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</row>
    <row r="480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</row>
    <row r="481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</row>
    <row r="482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</row>
    <row r="483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</row>
    <row r="484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</row>
    <row r="485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</row>
    <row r="486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</row>
    <row r="487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</row>
    <row r="48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</row>
    <row r="489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</row>
    <row r="490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</row>
    <row r="491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</row>
    <row r="492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</row>
    <row r="493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</row>
    <row r="494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</row>
    <row r="495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</row>
    <row r="496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</row>
    <row r="497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</row>
    <row r="49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</row>
    <row r="499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</row>
    <row r="500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</row>
    <row r="501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</row>
    <row r="502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</row>
    <row r="503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</row>
    <row r="504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</row>
    <row r="505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</row>
    <row r="506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</row>
    <row r="507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</row>
    <row r="50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</row>
    <row r="509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</row>
    <row r="510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</row>
    <row r="512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</row>
    <row r="513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</row>
    <row r="514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</row>
    <row r="515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</row>
    <row r="516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</row>
    <row r="517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</row>
    <row r="51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</row>
    <row r="519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</row>
    <row r="520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</row>
    <row r="521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</row>
    <row r="522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</row>
    <row r="523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</row>
    <row r="524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</row>
    <row r="525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</row>
    <row r="526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</row>
    <row r="527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</row>
    <row r="52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</row>
    <row r="529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</row>
    <row r="530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</row>
    <row r="531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</row>
    <row r="532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</row>
    <row r="533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</row>
    <row r="534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</row>
    <row r="535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</row>
    <row r="536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</row>
    <row r="537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</row>
    <row r="5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</row>
    <row r="539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</row>
    <row r="540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</row>
    <row r="541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</row>
    <row r="542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</row>
    <row r="543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</row>
    <row r="544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</row>
    <row r="545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</row>
    <row r="546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</row>
    <row r="547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</row>
    <row r="54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</row>
    <row r="549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</row>
    <row r="550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</row>
    <row r="551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</row>
    <row r="552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</row>
    <row r="553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</row>
    <row r="554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</row>
    <row r="555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</row>
    <row r="556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</row>
    <row r="557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</row>
    <row r="55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</row>
    <row r="559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</row>
    <row r="560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</row>
    <row r="561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</row>
    <row r="562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</row>
    <row r="563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</row>
    <row r="564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</row>
    <row r="565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</row>
    <row r="566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</row>
    <row r="567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</row>
    <row r="56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</row>
    <row r="569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</row>
    <row r="570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</row>
    <row r="571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</row>
    <row r="572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</row>
    <row r="573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</row>
    <row r="574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</row>
    <row r="575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</row>
    <row r="576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</row>
    <row r="577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</row>
    <row r="57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</row>
    <row r="579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</row>
    <row r="580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</row>
    <row r="581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</row>
    <row r="582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</row>
    <row r="583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</row>
    <row r="584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</row>
    <row r="585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</row>
    <row r="586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</row>
    <row r="587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</row>
    <row r="58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</row>
    <row r="589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</row>
    <row r="590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</row>
    <row r="591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</row>
    <row r="592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</row>
    <row r="593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</row>
    <row r="594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</row>
    <row r="595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</row>
    <row r="596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</row>
    <row r="597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</row>
    <row r="59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</row>
    <row r="599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</row>
    <row r="600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</row>
    <row r="601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</row>
    <row r="602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</row>
    <row r="603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</row>
    <row r="604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</row>
    <row r="605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</row>
    <row r="606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</row>
    <row r="607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</row>
    <row r="60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</row>
    <row r="609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</row>
    <row r="610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</row>
    <row r="611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</row>
    <row r="612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</row>
    <row r="613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</row>
    <row r="614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</row>
    <row r="615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</row>
    <row r="616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</row>
    <row r="617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</row>
    <row r="61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</row>
    <row r="619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</row>
    <row r="620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</row>
    <row r="621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</row>
    <row r="622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</row>
    <row r="623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</row>
    <row r="624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</row>
    <row r="625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</row>
    <row r="626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</row>
    <row r="627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</row>
    <row r="62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</row>
    <row r="629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</row>
    <row r="630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</row>
    <row r="631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</row>
    <row r="632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</row>
    <row r="633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</row>
    <row r="634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</row>
    <row r="635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</row>
    <row r="636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</row>
    <row r="637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</row>
    <row r="6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</row>
    <row r="639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</row>
    <row r="640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</row>
    <row r="641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</row>
    <row r="642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</row>
    <row r="643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</row>
    <row r="644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</row>
    <row r="645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</row>
    <row r="646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</row>
    <row r="647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</row>
    <row r="64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</row>
    <row r="649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</row>
    <row r="650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</row>
    <row r="651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</row>
    <row r="652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</row>
    <row r="653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</row>
    <row r="654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</row>
    <row r="655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</row>
    <row r="656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</row>
    <row r="657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</row>
    <row r="65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</row>
    <row r="659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</row>
    <row r="660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</row>
    <row r="661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</row>
    <row r="662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</row>
    <row r="663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</row>
    <row r="664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</row>
    <row r="665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</row>
    <row r="666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</row>
    <row r="667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</row>
    <row r="66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</row>
    <row r="669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</row>
    <row r="670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</row>
    <row r="671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</row>
    <row r="672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</row>
    <row r="673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</row>
    <row r="674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</row>
    <row r="675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</row>
    <row r="676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</row>
    <row r="677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</row>
    <row r="67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</row>
    <row r="679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</row>
    <row r="680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</row>
    <row r="681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</row>
    <row r="682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</row>
    <row r="683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</row>
    <row r="684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</row>
    <row r="685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</row>
    <row r="686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</row>
    <row r="687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</row>
    <row r="68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</row>
    <row r="689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</row>
    <row r="690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</row>
    <row r="691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</row>
    <row r="692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</row>
    <row r="693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</row>
    <row r="694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</row>
    <row r="695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</row>
    <row r="696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</row>
    <row r="697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</row>
    <row r="69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</row>
    <row r="699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</row>
    <row r="700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</row>
    <row r="701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</row>
    <row r="702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</row>
    <row r="703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</row>
    <row r="704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</row>
    <row r="705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</row>
    <row r="706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</row>
    <row r="707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</row>
    <row r="70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</row>
    <row r="709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</row>
    <row r="710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</row>
    <row r="711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</row>
    <row r="712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</row>
    <row r="713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</row>
    <row r="714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</row>
    <row r="715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</row>
    <row r="716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</row>
    <row r="717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</row>
    <row r="71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</row>
    <row r="719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</row>
    <row r="720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</row>
    <row r="721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</row>
    <row r="722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</row>
    <row r="723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</row>
    <row r="724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</row>
    <row r="725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</row>
    <row r="726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</row>
    <row r="727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</row>
    <row r="72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</row>
    <row r="729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</row>
    <row r="730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</row>
    <row r="731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</row>
    <row r="732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</row>
    <row r="733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</row>
    <row r="734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</row>
    <row r="735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</row>
    <row r="736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</row>
    <row r="737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</row>
    <row r="7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</row>
    <row r="739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</row>
    <row r="740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</row>
    <row r="741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</row>
    <row r="742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</row>
    <row r="743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</row>
    <row r="744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</row>
    <row r="745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</row>
    <row r="746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</row>
    <row r="747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</row>
    <row r="74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</row>
    <row r="749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</row>
    <row r="750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</row>
    <row r="751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</row>
    <row r="752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</row>
    <row r="753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</row>
    <row r="754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</row>
    <row r="755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</row>
    <row r="756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</row>
    <row r="757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</row>
    <row r="75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</row>
    <row r="759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</row>
    <row r="760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</row>
    <row r="761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</row>
    <row r="762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</row>
    <row r="763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</row>
    <row r="764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</row>
    <row r="765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</row>
    <row r="766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</row>
    <row r="767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</row>
    <row r="76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</row>
    <row r="769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</row>
    <row r="770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</row>
    <row r="771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</row>
    <row r="772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</row>
    <row r="773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</row>
    <row r="774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</row>
    <row r="775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</row>
    <row r="776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</row>
    <row r="777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</row>
    <row r="77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</row>
    <row r="779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</row>
    <row r="780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</row>
    <row r="781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</row>
    <row r="782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</row>
    <row r="783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</row>
    <row r="784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</row>
    <row r="785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</row>
    <row r="786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</row>
    <row r="787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</row>
    <row r="78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</row>
    <row r="789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</row>
    <row r="790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</row>
    <row r="791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</row>
    <row r="792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</row>
    <row r="793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</row>
    <row r="794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</row>
    <row r="795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</row>
    <row r="796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</row>
    <row r="797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</row>
    <row r="79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</row>
    <row r="799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</row>
    <row r="800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</row>
    <row r="801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</row>
    <row r="802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</row>
    <row r="803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</row>
    <row r="804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</row>
    <row r="805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</row>
    <row r="806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</row>
    <row r="807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</row>
    <row r="80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</row>
    <row r="809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</row>
    <row r="810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</row>
    <row r="811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</row>
    <row r="812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</row>
    <row r="813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</row>
    <row r="814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</row>
    <row r="815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</row>
    <row r="816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</row>
    <row r="817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</row>
    <row r="81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</row>
    <row r="819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</row>
    <row r="820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</row>
    <row r="821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</row>
    <row r="822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</row>
    <row r="823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</row>
    <row r="824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</row>
    <row r="825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</row>
    <row r="826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</row>
    <row r="827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</row>
    <row r="82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</row>
    <row r="829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</row>
    <row r="830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</row>
    <row r="831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</row>
    <row r="832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</row>
    <row r="833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</row>
    <row r="834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</row>
    <row r="835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</row>
    <row r="836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</row>
    <row r="837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</row>
    <row r="8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</row>
    <row r="839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</row>
    <row r="840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</row>
    <row r="841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</row>
    <row r="842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</row>
    <row r="843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</row>
    <row r="844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</row>
    <row r="845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</row>
    <row r="846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</row>
    <row r="847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</row>
    <row r="84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</row>
    <row r="849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</row>
    <row r="850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</row>
    <row r="851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</row>
    <row r="852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</row>
    <row r="853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</row>
    <row r="854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</row>
    <row r="855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</row>
    <row r="856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</row>
    <row r="857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</row>
    <row r="85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</row>
    <row r="859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</row>
    <row r="860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</row>
    <row r="861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</row>
    <row r="862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</row>
    <row r="863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</row>
    <row r="864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</row>
    <row r="865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</row>
    <row r="866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</row>
    <row r="867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</row>
    <row r="86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</row>
    <row r="869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</row>
    <row r="870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</row>
    <row r="871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</row>
    <row r="872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</row>
    <row r="873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</row>
    <row r="874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</row>
    <row r="875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</row>
    <row r="876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</row>
    <row r="877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</row>
    <row r="87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</row>
    <row r="879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</row>
    <row r="880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</row>
    <row r="881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</row>
    <row r="882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</row>
    <row r="883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</row>
    <row r="884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</row>
    <row r="885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</row>
    <row r="886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</row>
    <row r="887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</row>
    <row r="88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</row>
    <row r="889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</row>
    <row r="890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</row>
    <row r="891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</row>
    <row r="892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</row>
    <row r="893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</row>
    <row r="894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</row>
    <row r="895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</row>
    <row r="896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</row>
    <row r="897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</row>
    <row r="89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</row>
    <row r="899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</row>
    <row r="900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</row>
    <row r="901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</row>
    <row r="902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</row>
    <row r="903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</row>
    <row r="904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</row>
    <row r="905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</row>
    <row r="906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</row>
    <row r="907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</row>
    <row r="90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</row>
    <row r="909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</row>
    <row r="910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</row>
    <row r="911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</row>
    <row r="912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</row>
    <row r="913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</row>
    <row r="914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</row>
    <row r="915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</row>
    <row r="916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</row>
    <row r="917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</row>
    <row r="91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</row>
    <row r="919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</row>
    <row r="920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</row>
    <row r="921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</row>
    <row r="922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</row>
    <row r="923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</row>
    <row r="924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</row>
    <row r="925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</row>
    <row r="926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</row>
    <row r="927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</row>
    <row r="92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</row>
    <row r="929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</row>
    <row r="930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</row>
    <row r="931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</row>
    <row r="932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</row>
    <row r="933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</row>
    <row r="934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</row>
    <row r="935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</row>
    <row r="936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</row>
    <row r="937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</row>
    <row r="9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</row>
    <row r="939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</row>
    <row r="940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</row>
    <row r="941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</row>
    <row r="942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</row>
    <row r="943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</row>
    <row r="944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</row>
    <row r="945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</row>
    <row r="946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</row>
    <row r="947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</row>
    <row r="94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</row>
    <row r="949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</row>
    <row r="950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</row>
    <row r="951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</row>
    <row r="952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</row>
    <row r="953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</row>
    <row r="954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</row>
    <row r="955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</row>
    <row r="956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</row>
    <row r="957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</row>
    <row r="95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</row>
    <row r="959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</row>
    <row r="960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</row>
    <row r="961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</row>
    <row r="962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</row>
    <row r="963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</row>
    <row r="1001" ht="15.75" customHeight="1">
      <c r="A1001" s="106"/>
      <c r="B1001" s="106"/>
      <c r="C1001" s="106"/>
      <c r="D1001" s="106"/>
      <c r="E1001" s="106"/>
      <c r="F1001" s="106"/>
      <c r="G1001" s="106"/>
      <c r="H1001" s="106"/>
      <c r="I1001" s="106"/>
    </row>
    <row r="1002" ht="15.75" customHeight="1">
      <c r="A1002" s="106"/>
      <c r="B1002" s="106"/>
      <c r="C1002" s="106"/>
      <c r="D1002" s="106"/>
      <c r="E1002" s="106"/>
      <c r="F1002" s="106"/>
      <c r="G1002" s="106"/>
      <c r="H1002" s="106"/>
      <c r="I1002" s="106"/>
    </row>
    <row r="1003" ht="15.75" customHeight="1">
      <c r="A1003" s="106"/>
      <c r="B1003" s="106"/>
      <c r="C1003" s="106"/>
      <c r="D1003" s="106"/>
      <c r="E1003" s="106"/>
      <c r="F1003" s="106"/>
      <c r="G1003" s="106"/>
      <c r="H1003" s="106"/>
      <c r="I1003" s="106"/>
    </row>
    <row r="1004" ht="15.75" customHeight="1">
      <c r="A1004" s="106"/>
      <c r="B1004" s="106"/>
      <c r="C1004" s="106"/>
      <c r="D1004" s="106"/>
      <c r="E1004" s="106"/>
      <c r="F1004" s="106"/>
      <c r="G1004" s="106"/>
      <c r="H1004" s="106"/>
      <c r="I1004" s="106"/>
    </row>
    <row r="1005" ht="15.75" customHeight="1">
      <c r="A1005" s="106"/>
      <c r="B1005" s="106"/>
      <c r="C1005" s="106"/>
      <c r="D1005" s="106"/>
      <c r="E1005" s="106"/>
      <c r="F1005" s="106"/>
      <c r="G1005" s="106"/>
      <c r="H1005" s="106"/>
      <c r="I1005" s="106"/>
    </row>
    <row r="1006" ht="15.75" customHeight="1">
      <c r="A1006" s="106"/>
      <c r="B1006" s="106"/>
      <c r="C1006" s="106"/>
      <c r="D1006" s="106"/>
      <c r="E1006" s="106"/>
      <c r="F1006" s="106"/>
      <c r="G1006" s="106"/>
      <c r="H1006" s="106"/>
      <c r="I1006" s="106"/>
    </row>
    <row r="1007" ht="15.75" customHeight="1">
      <c r="A1007" s="106"/>
      <c r="B1007" s="106"/>
      <c r="C1007" s="106"/>
      <c r="D1007" s="106"/>
      <c r="E1007" s="106"/>
      <c r="F1007" s="106"/>
      <c r="G1007" s="106"/>
      <c r="H1007" s="106"/>
      <c r="I1007" s="106"/>
    </row>
    <row r="1008" ht="15.75" customHeight="1">
      <c r="A1008" s="106"/>
      <c r="B1008" s="106"/>
      <c r="C1008" s="106"/>
      <c r="D1008" s="106"/>
      <c r="E1008" s="106"/>
      <c r="F1008" s="106"/>
      <c r="G1008" s="106"/>
      <c r="H1008" s="106"/>
      <c r="I1008" s="106"/>
    </row>
    <row r="1009" ht="15.75" customHeight="1">
      <c r="A1009" s="106"/>
      <c r="B1009" s="106"/>
      <c r="C1009" s="106"/>
      <c r="D1009" s="106"/>
      <c r="E1009" s="106"/>
      <c r="F1009" s="106"/>
      <c r="G1009" s="106"/>
      <c r="H1009" s="106"/>
      <c r="I1009" s="106"/>
    </row>
    <row r="1010" ht="15.75" customHeight="1">
      <c r="A1010" s="106"/>
      <c r="B1010" s="106"/>
      <c r="C1010" s="106"/>
      <c r="D1010" s="106"/>
      <c r="E1010" s="106"/>
      <c r="F1010" s="106"/>
      <c r="G1010" s="106"/>
      <c r="H1010" s="106"/>
      <c r="I1010" s="106"/>
    </row>
    <row r="1011" ht="15.75" customHeight="1">
      <c r="A1011" s="106"/>
      <c r="B1011" s="106"/>
      <c r="C1011" s="106"/>
      <c r="D1011" s="106"/>
      <c r="E1011" s="106"/>
      <c r="F1011" s="106"/>
      <c r="G1011" s="106"/>
      <c r="H1011" s="106"/>
      <c r="I1011" s="106"/>
    </row>
    <row r="1012" ht="15.75" customHeight="1">
      <c r="A1012" s="106"/>
      <c r="B1012" s="106"/>
      <c r="C1012" s="106"/>
      <c r="D1012" s="106"/>
      <c r="E1012" s="106"/>
      <c r="F1012" s="106"/>
      <c r="G1012" s="106"/>
      <c r="H1012" s="106"/>
      <c r="I1012" s="106"/>
    </row>
    <row r="1013" ht="15.75" customHeight="1">
      <c r="A1013" s="106"/>
      <c r="B1013" s="106"/>
      <c r="C1013" s="106"/>
      <c r="D1013" s="106"/>
      <c r="E1013" s="106"/>
      <c r="F1013" s="106"/>
      <c r="G1013" s="106"/>
      <c r="H1013" s="106"/>
      <c r="I1013" s="106"/>
    </row>
    <row r="1014" ht="15.75" customHeight="1">
      <c r="A1014" s="106"/>
      <c r="B1014" s="106"/>
      <c r="C1014" s="106"/>
      <c r="D1014" s="106"/>
      <c r="E1014" s="106"/>
      <c r="F1014" s="106"/>
      <c r="G1014" s="106"/>
      <c r="H1014" s="106"/>
      <c r="I1014" s="106"/>
    </row>
    <row r="1015" ht="15.75" customHeight="1">
      <c r="A1015" s="106"/>
      <c r="B1015" s="106"/>
      <c r="C1015" s="106"/>
      <c r="D1015" s="106"/>
      <c r="E1015" s="106"/>
      <c r="F1015" s="106"/>
      <c r="G1015" s="106"/>
      <c r="H1015" s="106"/>
      <c r="I1015" s="106"/>
    </row>
    <row r="1016" ht="15.75" customHeight="1">
      <c r="A1016" s="106"/>
      <c r="B1016" s="106"/>
      <c r="C1016" s="106"/>
      <c r="D1016" s="106"/>
      <c r="E1016" s="106"/>
      <c r="F1016" s="106"/>
      <c r="G1016" s="106"/>
      <c r="H1016" s="106"/>
      <c r="I1016" s="106"/>
    </row>
    <row r="1017" ht="15.75" customHeight="1">
      <c r="A1017" s="106"/>
      <c r="B1017" s="106"/>
      <c r="C1017" s="106"/>
      <c r="D1017" s="106"/>
      <c r="E1017" s="106"/>
      <c r="F1017" s="106"/>
      <c r="G1017" s="106"/>
      <c r="H1017" s="106"/>
      <c r="I1017" s="106"/>
    </row>
    <row r="1018" ht="15.75" customHeight="1">
      <c r="A1018" s="106"/>
      <c r="B1018" s="106"/>
      <c r="C1018" s="106"/>
      <c r="D1018" s="106"/>
      <c r="E1018" s="106"/>
      <c r="F1018" s="106"/>
      <c r="G1018" s="106"/>
      <c r="H1018" s="106"/>
      <c r="I1018" s="106"/>
    </row>
    <row r="1019" ht="15.75" customHeight="1">
      <c r="A1019" s="106"/>
      <c r="B1019" s="106"/>
      <c r="C1019" s="106"/>
      <c r="D1019" s="106"/>
      <c r="E1019" s="106"/>
      <c r="F1019" s="106"/>
      <c r="G1019" s="106"/>
      <c r="H1019" s="106"/>
      <c r="I1019" s="106"/>
    </row>
    <row r="1020" ht="15.75" customHeight="1">
      <c r="A1020" s="106"/>
      <c r="B1020" s="106"/>
      <c r="C1020" s="106"/>
      <c r="D1020" s="106"/>
      <c r="E1020" s="106"/>
      <c r="F1020" s="106"/>
      <c r="G1020" s="106"/>
      <c r="H1020" s="106"/>
      <c r="I1020" s="106"/>
    </row>
    <row r="1021" ht="15.75" customHeight="1">
      <c r="A1021" s="106"/>
      <c r="B1021" s="106"/>
      <c r="C1021" s="106"/>
      <c r="D1021" s="106"/>
      <c r="E1021" s="106"/>
      <c r="F1021" s="106"/>
      <c r="G1021" s="106"/>
      <c r="H1021" s="106"/>
      <c r="I1021" s="106"/>
    </row>
    <row r="1022" ht="15.75" customHeight="1">
      <c r="A1022" s="106"/>
      <c r="B1022" s="106"/>
      <c r="C1022" s="106"/>
      <c r="D1022" s="106"/>
      <c r="E1022" s="106"/>
      <c r="F1022" s="106"/>
      <c r="G1022" s="106"/>
      <c r="H1022" s="106"/>
      <c r="I1022" s="106"/>
    </row>
    <row r="1023" ht="15.75" customHeight="1">
      <c r="A1023" s="106"/>
      <c r="B1023" s="106"/>
      <c r="C1023" s="106"/>
      <c r="D1023" s="106"/>
      <c r="E1023" s="106"/>
      <c r="F1023" s="106"/>
      <c r="G1023" s="106"/>
      <c r="H1023" s="106"/>
      <c r="I1023" s="106"/>
    </row>
    <row r="1024" ht="15.75" customHeight="1">
      <c r="A1024" s="106"/>
      <c r="B1024" s="106"/>
      <c r="C1024" s="106"/>
      <c r="D1024" s="106"/>
      <c r="E1024" s="106"/>
      <c r="F1024" s="106"/>
      <c r="G1024" s="106"/>
      <c r="H1024" s="106"/>
      <c r="I1024" s="106"/>
    </row>
    <row r="1025" ht="15.75" customHeight="1">
      <c r="A1025" s="106"/>
      <c r="B1025" s="106"/>
      <c r="C1025" s="106"/>
      <c r="D1025" s="106"/>
      <c r="E1025" s="106"/>
      <c r="F1025" s="106"/>
      <c r="G1025" s="106"/>
      <c r="H1025" s="106"/>
      <c r="I1025" s="106"/>
    </row>
    <row r="1026" ht="15.75" customHeight="1">
      <c r="A1026" s="106"/>
      <c r="B1026" s="106"/>
      <c r="C1026" s="106"/>
      <c r="D1026" s="106"/>
      <c r="E1026" s="106"/>
      <c r="F1026" s="106"/>
      <c r="G1026" s="106"/>
      <c r="H1026" s="106"/>
      <c r="I1026" s="106"/>
    </row>
    <row r="1027" ht="15.75" customHeight="1">
      <c r="A1027" s="106"/>
      <c r="B1027" s="106"/>
      <c r="C1027" s="106"/>
      <c r="D1027" s="106"/>
      <c r="E1027" s="106"/>
      <c r="F1027" s="106"/>
      <c r="G1027" s="106"/>
      <c r="H1027" s="106"/>
      <c r="I1027" s="106"/>
    </row>
    <row r="1028" ht="15.75" customHeight="1">
      <c r="A1028" s="106"/>
      <c r="B1028" s="106"/>
      <c r="C1028" s="106"/>
      <c r="D1028" s="106"/>
      <c r="E1028" s="106"/>
      <c r="F1028" s="106"/>
      <c r="G1028" s="106"/>
      <c r="H1028" s="106"/>
      <c r="I1028" s="106"/>
    </row>
    <row r="1029" ht="15.75" customHeight="1">
      <c r="A1029" s="106"/>
      <c r="B1029" s="106"/>
      <c r="C1029" s="106"/>
      <c r="D1029" s="106"/>
      <c r="E1029" s="106"/>
      <c r="F1029" s="106"/>
      <c r="G1029" s="106"/>
      <c r="H1029" s="106"/>
      <c r="I1029" s="106"/>
    </row>
    <row r="1030" ht="15.75" customHeight="1">
      <c r="A1030" s="106"/>
      <c r="B1030" s="106"/>
      <c r="C1030" s="106"/>
      <c r="D1030" s="106"/>
      <c r="E1030" s="106"/>
      <c r="F1030" s="106"/>
      <c r="G1030" s="106"/>
      <c r="H1030" s="106"/>
      <c r="I1030" s="106"/>
    </row>
    <row r="1031" ht="15.75" customHeight="1">
      <c r="A1031" s="106"/>
      <c r="B1031" s="106"/>
      <c r="C1031" s="106"/>
      <c r="D1031" s="106"/>
      <c r="E1031" s="106"/>
      <c r="F1031" s="106"/>
      <c r="G1031" s="106"/>
      <c r="H1031" s="106"/>
      <c r="I1031" s="106"/>
    </row>
  </sheetData>
  <mergeCells count="13">
    <mergeCell ref="B56:C56"/>
    <mergeCell ref="B57:C57"/>
    <mergeCell ref="B58:C58"/>
    <mergeCell ref="B59:C59"/>
    <mergeCell ref="A61:H61"/>
    <mergeCell ref="A67:H69"/>
    <mergeCell ref="A1:I1"/>
    <mergeCell ref="A2:I2"/>
    <mergeCell ref="A4:H4"/>
    <mergeCell ref="B53:C53"/>
    <mergeCell ref="E53:H56"/>
    <mergeCell ref="B54:C54"/>
    <mergeCell ref="B55:C55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3.14"/>
    <col customWidth="1" min="3" max="3" width="13.71"/>
    <col customWidth="1" min="4" max="4" width="10.0"/>
    <col customWidth="1" min="5" max="5" width="5.43"/>
    <col customWidth="1" min="6" max="6" width="5.14"/>
    <col customWidth="1" min="7" max="7" width="5.0"/>
    <col customWidth="1" min="8" max="8" width="5.43"/>
    <col customWidth="1" min="9" max="9" width="4.86"/>
    <col customWidth="1" min="10" max="10" width="7.43"/>
    <col customWidth="1" min="11" max="11" width="5.43"/>
    <col customWidth="1" min="12" max="26" width="8.71"/>
  </cols>
  <sheetData>
    <row r="1">
      <c r="A1" s="2" t="s">
        <v>1249</v>
      </c>
    </row>
    <row r="2">
      <c r="A2" s="4" t="s">
        <v>1252</v>
      </c>
    </row>
    <row r="3">
      <c r="A3" s="84"/>
      <c r="B3" s="84"/>
    </row>
    <row r="4">
      <c r="A4" s="85" t="s">
        <v>1253</v>
      </c>
      <c r="D4" s="86">
        <v>0.15</v>
      </c>
      <c r="E4" s="4" t="s">
        <v>1256</v>
      </c>
    </row>
    <row r="5">
      <c r="A5" s="84"/>
      <c r="B5" s="84"/>
    </row>
    <row r="6" ht="31.5" customHeight="1">
      <c r="A6" s="6" t="s">
        <v>1258</v>
      </c>
      <c r="B6" s="6" t="s">
        <v>1260</v>
      </c>
      <c r="C6" s="6" t="s">
        <v>4</v>
      </c>
      <c r="D6" s="6" t="s">
        <v>1262</v>
      </c>
      <c r="E6" s="6" t="s">
        <v>906</v>
      </c>
      <c r="F6" s="6" t="s">
        <v>907</v>
      </c>
      <c r="G6" s="6" t="s">
        <v>908</v>
      </c>
      <c r="H6" s="6" t="s">
        <v>910</v>
      </c>
      <c r="I6" s="6" t="s">
        <v>992</v>
      </c>
      <c r="J6" s="6" t="s">
        <v>1266</v>
      </c>
      <c r="K6" s="6" t="s">
        <v>1267</v>
      </c>
    </row>
    <row r="7" ht="15.0" customHeight="1">
      <c r="A7" s="87" t="s">
        <v>1269</v>
      </c>
      <c r="B7" s="88" t="s">
        <v>1271</v>
      </c>
      <c r="C7" s="10" t="s">
        <v>28</v>
      </c>
      <c r="D7" s="12" t="s">
        <v>1273</v>
      </c>
      <c r="E7" s="44">
        <v>7.39</v>
      </c>
      <c r="F7" s="44">
        <v>7.35</v>
      </c>
      <c r="G7" s="44">
        <v>7.35</v>
      </c>
      <c r="H7" s="44">
        <f t="shared" ref="H7:H12" si="1">IFERROR(AVERAGE(E7:G7),"")</f>
        <v>7.363333333</v>
      </c>
      <c r="I7" s="89">
        <f t="shared" ref="I7:I12" si="2">IFERROR(STDEV(E7:G7),"")</f>
        <v>0.02309401077</v>
      </c>
      <c r="J7" s="44">
        <f t="shared" ref="J7:J12" si="3">IFERROR(MAX(E7:G7)-MIN(E7:G7),"")</f>
        <v>0.04</v>
      </c>
      <c r="K7" s="90" t="str">
        <f t="shared" ref="K7:K12" si="4">IF(COUNT(E7:G7)&lt;2,"",IF(I7&lt;=$D$4,"OK","review"))</f>
        <v>OK</v>
      </c>
    </row>
    <row r="8">
      <c r="A8" s="91"/>
      <c r="B8" s="91"/>
      <c r="C8" s="10" t="s">
        <v>19</v>
      </c>
      <c r="D8" s="12" t="s">
        <v>1273</v>
      </c>
      <c r="E8" s="44">
        <v>7.3</v>
      </c>
      <c r="F8" s="44">
        <v>7.23</v>
      </c>
      <c r="G8" s="44">
        <v>7.36</v>
      </c>
      <c r="H8" s="44">
        <f t="shared" si="1"/>
        <v>7.296666667</v>
      </c>
      <c r="I8" s="89">
        <f t="shared" si="2"/>
        <v>0.06506407099</v>
      </c>
      <c r="J8" s="44">
        <f t="shared" si="3"/>
        <v>0.13</v>
      </c>
      <c r="K8" s="90" t="str">
        <f t="shared" si="4"/>
        <v>OK</v>
      </c>
    </row>
    <row r="9">
      <c r="A9" s="92"/>
      <c r="B9" s="92"/>
      <c r="C9" s="10" t="s">
        <v>36</v>
      </c>
      <c r="D9" s="12" t="s">
        <v>1273</v>
      </c>
      <c r="E9" s="44">
        <v>7.68</v>
      </c>
      <c r="F9" s="44">
        <v>7.76</v>
      </c>
      <c r="G9" s="44">
        <v>7.68</v>
      </c>
      <c r="H9" s="44">
        <f t="shared" si="1"/>
        <v>7.706666667</v>
      </c>
      <c r="I9" s="89">
        <f t="shared" si="2"/>
        <v>0.04618802154</v>
      </c>
      <c r="J9" s="44">
        <f t="shared" si="3"/>
        <v>0.08</v>
      </c>
      <c r="K9" s="90" t="str">
        <f t="shared" si="4"/>
        <v>OK</v>
      </c>
    </row>
    <row r="10" ht="15.0" customHeight="1">
      <c r="A10" s="87" t="s">
        <v>1301</v>
      </c>
      <c r="B10" s="88" t="s">
        <v>1303</v>
      </c>
      <c r="C10" s="10" t="s">
        <v>28</v>
      </c>
      <c r="D10" s="12" t="s">
        <v>1273</v>
      </c>
      <c r="E10" s="44">
        <v>7.96</v>
      </c>
      <c r="F10" s="44">
        <v>7.97</v>
      </c>
      <c r="G10" s="44">
        <v>7.97</v>
      </c>
      <c r="H10" s="44">
        <f t="shared" si="1"/>
        <v>7.966666667</v>
      </c>
      <c r="I10" s="89">
        <f t="shared" si="2"/>
        <v>0.005773502692</v>
      </c>
      <c r="J10" s="44">
        <f t="shared" si="3"/>
        <v>0.01</v>
      </c>
      <c r="K10" s="90" t="str">
        <f t="shared" si="4"/>
        <v>OK</v>
      </c>
    </row>
    <row r="11">
      <c r="A11" s="91"/>
      <c r="B11" s="91"/>
      <c r="C11" s="10" t="s">
        <v>19</v>
      </c>
      <c r="D11" s="12" t="s">
        <v>1273</v>
      </c>
      <c r="E11" s="44">
        <v>7.93</v>
      </c>
      <c r="F11" s="44">
        <v>7.99</v>
      </c>
      <c r="G11" s="44">
        <v>7.92</v>
      </c>
      <c r="H11" s="44">
        <f t="shared" si="1"/>
        <v>7.946666667</v>
      </c>
      <c r="I11" s="89">
        <f t="shared" si="2"/>
        <v>0.03785938897</v>
      </c>
      <c r="J11" s="44">
        <f t="shared" si="3"/>
        <v>0.07</v>
      </c>
      <c r="K11" s="90" t="str">
        <f t="shared" si="4"/>
        <v>OK</v>
      </c>
    </row>
    <row r="12">
      <c r="A12" s="92"/>
      <c r="B12" s="92"/>
      <c r="C12" s="10" t="s">
        <v>36</v>
      </c>
      <c r="D12" s="12" t="s">
        <v>1273</v>
      </c>
      <c r="E12" s="44">
        <v>7.84</v>
      </c>
      <c r="F12" s="44">
        <v>7.73</v>
      </c>
      <c r="G12" s="44">
        <v>7.71</v>
      </c>
      <c r="H12" s="44">
        <f t="shared" si="1"/>
        <v>7.76</v>
      </c>
      <c r="I12" s="89">
        <f t="shared" si="2"/>
        <v>0.07</v>
      </c>
      <c r="J12" s="44">
        <f t="shared" si="3"/>
        <v>0.13</v>
      </c>
      <c r="K12" s="90" t="str">
        <f t="shared" si="4"/>
        <v>OK</v>
      </c>
    </row>
    <row r="13" ht="15.0" customHeight="1">
      <c r="A13" s="87" t="s">
        <v>1315</v>
      </c>
      <c r="B13" s="88" t="s">
        <v>1316</v>
      </c>
      <c r="C13" s="10" t="s">
        <v>28</v>
      </c>
      <c r="D13" s="12" t="s">
        <v>1273</v>
      </c>
      <c r="E13" s="99">
        <v>8.12</v>
      </c>
      <c r="F13" s="99">
        <v>8.14</v>
      </c>
      <c r="G13" s="99">
        <v>8.17</v>
      </c>
      <c r="H13" s="44">
        <f>IFERROR(AVERAGE(E15:G15),"")</f>
        <v>7.943333333</v>
      </c>
      <c r="I13" s="89">
        <f>IFERROR(STDEV(E15:G15),"")</f>
        <v>0.06658328118</v>
      </c>
      <c r="J13" s="44">
        <f>IFERROR(MAX(E15:G15)-MIN(E15:G15),"")</f>
        <v>0.13</v>
      </c>
      <c r="K13" s="90" t="str">
        <f>IF(COUNT(E15:G15)&lt;2,"",IF(I13&lt;=$D$4,"OK","review"))</f>
        <v>OK</v>
      </c>
    </row>
    <row r="14">
      <c r="A14" s="91"/>
      <c r="B14" s="91"/>
      <c r="C14" s="10" t="s">
        <v>19</v>
      </c>
      <c r="D14" s="12" t="s">
        <v>1273</v>
      </c>
      <c r="E14" s="99">
        <v>8.26</v>
      </c>
      <c r="F14" s="99">
        <v>8.34</v>
      </c>
      <c r="G14" s="99">
        <v>8.33</v>
      </c>
      <c r="H14" s="44">
        <f t="shared" ref="H14:H27" si="5">IFERROR(AVERAGE(E14:G14),"")</f>
        <v>8.31</v>
      </c>
      <c r="I14" s="89">
        <f t="shared" ref="I14:I27" si="6">IFERROR(STDEV(E14:G14),"")</f>
        <v>0.04358898944</v>
      </c>
      <c r="J14" s="44">
        <f t="shared" ref="J14:J27" si="7">IFERROR(MAX(E14:G14)-MIN(E14:G14),"")</f>
        <v>0.08</v>
      </c>
      <c r="K14" s="90" t="str">
        <f t="shared" ref="K14:K27" si="8">IF(COUNT(E14:G14)&lt;2,"",IF(I14&lt;=$D$4,"OK","review"))</f>
        <v>OK</v>
      </c>
    </row>
    <row r="15">
      <c r="A15" s="92"/>
      <c r="B15" s="92"/>
      <c r="C15" s="10" t="s">
        <v>36</v>
      </c>
      <c r="D15" s="12" t="s">
        <v>1273</v>
      </c>
      <c r="E15" s="99">
        <v>7.87</v>
      </c>
      <c r="F15" s="99">
        <v>8.0</v>
      </c>
      <c r="G15" s="99">
        <v>7.96</v>
      </c>
      <c r="H15" s="44">
        <f t="shared" si="5"/>
        <v>7.943333333</v>
      </c>
      <c r="I15" s="89">
        <f t="shared" si="6"/>
        <v>0.06658328118</v>
      </c>
      <c r="J15" s="44">
        <f t="shared" si="7"/>
        <v>0.13</v>
      </c>
      <c r="K15" s="90" t="str">
        <f t="shared" si="8"/>
        <v>OK</v>
      </c>
    </row>
    <row r="16" ht="15.0" customHeight="1">
      <c r="A16" s="87" t="s">
        <v>1338</v>
      </c>
      <c r="B16" s="88" t="s">
        <v>1340</v>
      </c>
      <c r="C16" s="10" t="s">
        <v>28</v>
      </c>
      <c r="D16" s="12" t="s">
        <v>1273</v>
      </c>
      <c r="E16" s="44">
        <v>7.93</v>
      </c>
      <c r="F16" s="44">
        <v>7.96</v>
      </c>
      <c r="G16" s="44">
        <v>7.92</v>
      </c>
      <c r="H16" s="44">
        <f t="shared" si="5"/>
        <v>7.936666667</v>
      </c>
      <c r="I16" s="89">
        <f t="shared" si="6"/>
        <v>0.02081665999</v>
      </c>
      <c r="J16" s="44">
        <f t="shared" si="7"/>
        <v>0.04</v>
      </c>
      <c r="K16" s="90" t="str">
        <f t="shared" si="8"/>
        <v>OK</v>
      </c>
    </row>
    <row r="17">
      <c r="A17" s="91"/>
      <c r="B17" s="91"/>
      <c r="C17" s="10" t="s">
        <v>19</v>
      </c>
      <c r="D17" s="12" t="s">
        <v>1273</v>
      </c>
      <c r="E17" s="44">
        <v>7.93</v>
      </c>
      <c r="F17" s="44">
        <v>7.82</v>
      </c>
      <c r="G17" s="44">
        <v>7.92</v>
      </c>
      <c r="H17" s="44">
        <f t="shared" si="5"/>
        <v>7.89</v>
      </c>
      <c r="I17" s="89">
        <f t="shared" si="6"/>
        <v>0.0608276253</v>
      </c>
      <c r="J17" s="44">
        <f t="shared" si="7"/>
        <v>0.11</v>
      </c>
      <c r="K17" s="90" t="str">
        <f t="shared" si="8"/>
        <v>OK</v>
      </c>
    </row>
    <row r="18">
      <c r="A18" s="92"/>
      <c r="B18" s="92"/>
      <c r="C18" s="10" t="s">
        <v>36</v>
      </c>
      <c r="D18" s="12" t="s">
        <v>1273</v>
      </c>
      <c r="E18" s="44">
        <v>7.93</v>
      </c>
      <c r="F18" s="44">
        <v>7.98</v>
      </c>
      <c r="G18" s="44">
        <v>7.99</v>
      </c>
      <c r="H18" s="44">
        <f t="shared" si="5"/>
        <v>7.966666667</v>
      </c>
      <c r="I18" s="89">
        <f t="shared" si="6"/>
        <v>0.03214550254</v>
      </c>
      <c r="J18" s="44">
        <f t="shared" si="7"/>
        <v>0.06</v>
      </c>
      <c r="K18" s="90" t="str">
        <f t="shared" si="8"/>
        <v>OK</v>
      </c>
    </row>
    <row r="19" ht="15.0" customHeight="1">
      <c r="A19" s="87" t="s">
        <v>1348</v>
      </c>
      <c r="B19" s="88" t="s">
        <v>1349</v>
      </c>
      <c r="C19" s="10" t="s">
        <v>28</v>
      </c>
      <c r="D19" s="12" t="s">
        <v>1273</v>
      </c>
      <c r="E19" s="44">
        <v>7.96</v>
      </c>
      <c r="F19" s="44">
        <v>7.84</v>
      </c>
      <c r="G19" s="44">
        <v>7.92</v>
      </c>
      <c r="H19" s="44">
        <f t="shared" si="5"/>
        <v>7.906666667</v>
      </c>
      <c r="I19" s="89">
        <f t="shared" si="6"/>
        <v>0.06110100927</v>
      </c>
      <c r="J19" s="44">
        <f t="shared" si="7"/>
        <v>0.12</v>
      </c>
      <c r="K19" s="90" t="str">
        <f t="shared" si="8"/>
        <v>OK</v>
      </c>
    </row>
    <row r="20">
      <c r="A20" s="91"/>
      <c r="B20" s="91"/>
      <c r="C20" s="10" t="s">
        <v>19</v>
      </c>
      <c r="D20" s="12" t="s">
        <v>1273</v>
      </c>
      <c r="E20" s="44">
        <v>7.59</v>
      </c>
      <c r="F20" s="44">
        <v>7.49</v>
      </c>
      <c r="G20" s="107">
        <v>7.84</v>
      </c>
      <c r="H20" s="44">
        <f t="shared" si="5"/>
        <v>7.64</v>
      </c>
      <c r="I20" s="89">
        <f t="shared" si="6"/>
        <v>0.1802775638</v>
      </c>
      <c r="J20" s="44">
        <f t="shared" si="7"/>
        <v>0.35</v>
      </c>
      <c r="K20" s="90" t="str">
        <f t="shared" si="8"/>
        <v>review</v>
      </c>
    </row>
    <row r="21" ht="15.75" customHeight="1">
      <c r="A21" s="92"/>
      <c r="B21" s="92"/>
      <c r="C21" s="10" t="s">
        <v>36</v>
      </c>
      <c r="D21" s="12" t="s">
        <v>1273</v>
      </c>
      <c r="E21" s="108">
        <v>7.93</v>
      </c>
      <c r="F21" s="108">
        <v>7.91</v>
      </c>
      <c r="G21" s="108">
        <v>7.92</v>
      </c>
      <c r="H21" s="108">
        <f t="shared" si="5"/>
        <v>7.92</v>
      </c>
      <c r="I21" s="109">
        <f t="shared" si="6"/>
        <v>0.01</v>
      </c>
      <c r="J21" s="108">
        <f t="shared" si="7"/>
        <v>0.02</v>
      </c>
      <c r="K21" s="110" t="str">
        <f t="shared" si="8"/>
        <v>OK</v>
      </c>
    </row>
    <row r="22" ht="15.0" customHeight="1">
      <c r="A22" s="87" t="s">
        <v>1355</v>
      </c>
      <c r="B22" s="88" t="s">
        <v>1356</v>
      </c>
      <c r="C22" s="10" t="s">
        <v>28</v>
      </c>
      <c r="D22" s="111" t="s">
        <v>1273</v>
      </c>
      <c r="E22" s="49">
        <v>8.14</v>
      </c>
      <c r="F22" s="49">
        <v>8.06</v>
      </c>
      <c r="G22" s="49">
        <v>8.07</v>
      </c>
      <c r="H22" s="108">
        <f t="shared" si="5"/>
        <v>8.09</v>
      </c>
      <c r="I22" s="109">
        <f t="shared" si="6"/>
        <v>0.04358898944</v>
      </c>
      <c r="J22" s="108">
        <f t="shared" si="7"/>
        <v>0.08</v>
      </c>
      <c r="K22" s="110" t="str">
        <f t="shared" si="8"/>
        <v>OK</v>
      </c>
    </row>
    <row r="23" ht="15.75" customHeight="1">
      <c r="A23" s="91"/>
      <c r="B23" s="91"/>
      <c r="C23" s="10" t="s">
        <v>19</v>
      </c>
      <c r="D23" s="111" t="s">
        <v>1273</v>
      </c>
      <c r="E23" s="49">
        <v>7.97</v>
      </c>
      <c r="F23" s="49">
        <v>8.0</v>
      </c>
      <c r="G23" s="49" t="s">
        <v>71</v>
      </c>
      <c r="H23" s="108">
        <f t="shared" si="5"/>
        <v>7.985</v>
      </c>
      <c r="I23" s="109">
        <f t="shared" si="6"/>
        <v>0.02121320344</v>
      </c>
      <c r="J23" s="108">
        <f t="shared" si="7"/>
        <v>0.03</v>
      </c>
      <c r="K23" s="110" t="str">
        <f t="shared" si="8"/>
        <v>OK</v>
      </c>
    </row>
    <row r="24" ht="15.75" customHeight="1">
      <c r="A24" s="92"/>
      <c r="B24" s="92"/>
      <c r="C24" s="10" t="s">
        <v>36</v>
      </c>
      <c r="D24" s="111" t="s">
        <v>1273</v>
      </c>
      <c r="E24" s="49">
        <v>7.95</v>
      </c>
      <c r="F24" s="49">
        <v>7.98</v>
      </c>
      <c r="G24" s="49">
        <v>7.99</v>
      </c>
      <c r="H24" s="108">
        <f t="shared" si="5"/>
        <v>7.973333333</v>
      </c>
      <c r="I24" s="109">
        <f t="shared" si="6"/>
        <v>0.02081665999</v>
      </c>
      <c r="J24" s="108">
        <f t="shared" si="7"/>
        <v>0.04</v>
      </c>
      <c r="K24" s="110" t="str">
        <f t="shared" si="8"/>
        <v>OK</v>
      </c>
    </row>
    <row r="25" ht="15.75" customHeight="1">
      <c r="A25" s="112">
        <v>12.0</v>
      </c>
      <c r="B25" s="113" t="s">
        <v>1360</v>
      </c>
      <c r="C25" s="15" t="s">
        <v>28</v>
      </c>
      <c r="D25" s="12" t="s">
        <v>1273</v>
      </c>
      <c r="E25" s="48">
        <v>8.14</v>
      </c>
      <c r="F25" s="48">
        <v>8.05</v>
      </c>
      <c r="G25" s="48">
        <v>8.0</v>
      </c>
      <c r="H25" s="114">
        <f t="shared" si="5"/>
        <v>8.063333333</v>
      </c>
      <c r="I25" s="115">
        <f t="shared" si="6"/>
        <v>0.07094598885</v>
      </c>
      <c r="J25" s="114">
        <f t="shared" si="7"/>
        <v>0.14</v>
      </c>
      <c r="K25" s="116" t="str">
        <f t="shared" si="8"/>
        <v>OK</v>
      </c>
    </row>
    <row r="26" ht="15.75" customHeight="1">
      <c r="A26" s="91"/>
      <c r="B26" s="91"/>
      <c r="C26" s="15" t="s">
        <v>19</v>
      </c>
      <c r="D26" s="12" t="s">
        <v>1273</v>
      </c>
      <c r="E26" s="17">
        <v>8.11</v>
      </c>
      <c r="F26" s="17">
        <v>7.97</v>
      </c>
      <c r="G26" s="17">
        <v>8.04</v>
      </c>
      <c r="H26" s="44">
        <f t="shared" si="5"/>
        <v>8.04</v>
      </c>
      <c r="I26" s="89">
        <f t="shared" si="6"/>
        <v>0.07</v>
      </c>
      <c r="J26" s="44">
        <f t="shared" si="7"/>
        <v>0.14</v>
      </c>
      <c r="K26" s="90" t="str">
        <f t="shared" si="8"/>
        <v>OK</v>
      </c>
    </row>
    <row r="27" ht="15.75" customHeight="1">
      <c r="A27" s="92"/>
      <c r="B27" s="92"/>
      <c r="C27" s="15" t="s">
        <v>36</v>
      </c>
      <c r="D27" s="12" t="s">
        <v>1273</v>
      </c>
      <c r="E27" s="17">
        <v>8.1</v>
      </c>
      <c r="F27" s="17">
        <v>8.07</v>
      </c>
      <c r="G27" s="17">
        <v>8.11</v>
      </c>
      <c r="H27" s="44">
        <f t="shared" si="5"/>
        <v>8.093333333</v>
      </c>
      <c r="I27" s="89">
        <f t="shared" si="6"/>
        <v>0.02081665999</v>
      </c>
      <c r="J27" s="44">
        <f t="shared" si="7"/>
        <v>0.04</v>
      </c>
      <c r="K27" s="90" t="str">
        <f t="shared" si="8"/>
        <v>OK</v>
      </c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75" customHeight="1">
      <c r="A29" s="5" t="s">
        <v>1365</v>
      </c>
    </row>
    <row r="30" ht="31.5" customHeight="1">
      <c r="A30" s="6" t="s">
        <v>4</v>
      </c>
      <c r="B30" s="6" t="s">
        <v>1366</v>
      </c>
      <c r="C30" s="6" t="s">
        <v>1367</v>
      </c>
      <c r="D30" s="6" t="s">
        <v>1369</v>
      </c>
      <c r="E30" s="6" t="s">
        <v>1370</v>
      </c>
      <c r="F30" s="6"/>
      <c r="G30" s="6"/>
      <c r="H30" s="6"/>
      <c r="I30" s="6"/>
      <c r="J30" s="6"/>
      <c r="K30" s="6"/>
    </row>
    <row r="31" ht="15.75" customHeight="1">
      <c r="A31" s="25" t="s">
        <v>28</v>
      </c>
      <c r="B31" s="12"/>
      <c r="C31" s="12"/>
      <c r="D31" s="12"/>
      <c r="E31" s="10"/>
    </row>
    <row r="32" ht="15.75" customHeight="1">
      <c r="A32" s="25" t="s">
        <v>19</v>
      </c>
      <c r="B32" s="12"/>
      <c r="C32" s="12"/>
      <c r="D32" s="12"/>
      <c r="E32" s="10"/>
    </row>
    <row r="33" ht="15.75" customHeight="1">
      <c r="A33" s="25" t="s">
        <v>36</v>
      </c>
      <c r="B33" s="12"/>
      <c r="C33" s="12"/>
      <c r="D33" s="12"/>
      <c r="E33" s="10"/>
    </row>
    <row r="34" ht="15.0" customHeight="1">
      <c r="A34" s="64" t="s">
        <v>1373</v>
      </c>
    </row>
    <row r="35" ht="15.75" customHeight="1"/>
    <row r="36" ht="15.75" customHeight="1">
      <c r="A36" s="23" t="s">
        <v>1374</v>
      </c>
    </row>
    <row r="37" ht="15.75" customHeight="1"/>
    <row r="38" ht="15.75" customHeight="1">
      <c r="A38" s="84"/>
      <c r="B38" s="84"/>
    </row>
    <row r="39" ht="15.75" customHeight="1">
      <c r="A39" s="84"/>
      <c r="B39" s="84"/>
    </row>
    <row r="40" ht="15.75" customHeight="1">
      <c r="A40" s="84"/>
      <c r="B40" s="84"/>
    </row>
    <row r="41" ht="15.75" customHeight="1">
      <c r="A41" s="84"/>
      <c r="B41" s="84"/>
    </row>
    <row r="42" ht="15.75" customHeight="1">
      <c r="A42" s="84"/>
      <c r="B42" s="84"/>
    </row>
    <row r="43" ht="15.75" customHeight="1">
      <c r="A43" s="84"/>
      <c r="B43" s="84"/>
    </row>
    <row r="44" ht="15.75" customHeight="1">
      <c r="A44" s="84"/>
      <c r="B44" s="84"/>
    </row>
    <row r="45" ht="15.75" customHeight="1">
      <c r="A45" s="84"/>
      <c r="B45" s="84"/>
    </row>
    <row r="46" ht="15.75" customHeight="1">
      <c r="A46" s="84"/>
      <c r="B46" s="84"/>
    </row>
    <row r="47" ht="15.75" customHeight="1">
      <c r="A47" s="84"/>
      <c r="B47" s="84"/>
    </row>
    <row r="48" ht="15.75" customHeight="1">
      <c r="A48" s="84"/>
      <c r="B48" s="84"/>
    </row>
    <row r="49" ht="15.75" customHeight="1">
      <c r="A49" s="84"/>
      <c r="B49" s="84"/>
    </row>
    <row r="50" ht="15.75" customHeight="1">
      <c r="A50" s="84"/>
      <c r="B50" s="84"/>
    </row>
    <row r="51" ht="15.75" customHeight="1">
      <c r="A51" s="84"/>
      <c r="B51" s="84"/>
    </row>
    <row r="52" ht="15.75" customHeight="1">
      <c r="A52" s="84"/>
      <c r="B52" s="84"/>
    </row>
    <row r="53" ht="15.75" customHeight="1">
      <c r="A53" s="84"/>
      <c r="B53" s="84"/>
    </row>
    <row r="54" ht="15.75" customHeight="1">
      <c r="A54" s="84"/>
      <c r="B54" s="84"/>
    </row>
    <row r="55" ht="15.75" customHeight="1">
      <c r="A55" s="84"/>
      <c r="B55" s="84"/>
    </row>
    <row r="56" ht="15.75" customHeight="1">
      <c r="A56" s="84"/>
      <c r="B56" s="84"/>
    </row>
    <row r="57" ht="15.75" customHeight="1">
      <c r="A57" s="84"/>
      <c r="B57" s="84"/>
    </row>
    <row r="58" ht="15.75" customHeight="1">
      <c r="A58" s="84"/>
      <c r="B58" s="84"/>
    </row>
    <row r="59" ht="15.75" customHeight="1">
      <c r="A59" s="84"/>
      <c r="B59" s="84"/>
    </row>
    <row r="60" ht="15.75" customHeight="1">
      <c r="A60" s="84"/>
      <c r="B60" s="84"/>
    </row>
    <row r="61" ht="15.75" customHeight="1">
      <c r="A61" s="84"/>
      <c r="B61" s="84"/>
    </row>
    <row r="62" ht="15.75" customHeight="1">
      <c r="A62" s="84"/>
      <c r="B62" s="84"/>
    </row>
    <row r="63" ht="15.75" customHeight="1">
      <c r="A63" s="84"/>
      <c r="B63" s="84"/>
    </row>
    <row r="64" ht="15.75" customHeight="1">
      <c r="A64" s="84"/>
      <c r="B64" s="84"/>
    </row>
    <row r="65" ht="15.75" customHeight="1">
      <c r="A65" s="84"/>
      <c r="B65" s="84"/>
    </row>
    <row r="66" ht="15.75" customHeight="1">
      <c r="A66" s="84"/>
      <c r="B66" s="84"/>
    </row>
    <row r="67" ht="15.75" customHeight="1">
      <c r="A67" s="84"/>
      <c r="B67" s="84"/>
    </row>
    <row r="68" ht="15.75" customHeight="1">
      <c r="A68" s="84"/>
      <c r="B68" s="84"/>
    </row>
    <row r="69" ht="15.75" customHeight="1">
      <c r="A69" s="84"/>
      <c r="B69" s="84"/>
    </row>
    <row r="70" ht="15.75" customHeight="1">
      <c r="A70" s="84"/>
      <c r="B70" s="84"/>
    </row>
    <row r="71" ht="15.75" customHeight="1">
      <c r="A71" s="84"/>
      <c r="B71" s="84"/>
    </row>
    <row r="72" ht="15.75" customHeight="1">
      <c r="A72" s="84"/>
      <c r="B72" s="84"/>
    </row>
    <row r="73" ht="15.75" customHeight="1">
      <c r="A73" s="84"/>
      <c r="B73" s="84"/>
    </row>
    <row r="74" ht="15.75" customHeight="1">
      <c r="A74" s="84"/>
      <c r="B74" s="84"/>
    </row>
    <row r="75" ht="15.75" customHeight="1">
      <c r="A75" s="84"/>
      <c r="B75" s="84"/>
    </row>
    <row r="76" ht="15.75" customHeight="1">
      <c r="A76" s="84"/>
      <c r="B76" s="84"/>
    </row>
    <row r="77" ht="15.75" customHeight="1">
      <c r="A77" s="84"/>
      <c r="B77" s="84"/>
    </row>
    <row r="78" ht="15.75" customHeight="1">
      <c r="A78" s="84"/>
      <c r="B78" s="84"/>
    </row>
    <row r="79" ht="15.75" customHeight="1">
      <c r="A79" s="84"/>
      <c r="B79" s="84"/>
    </row>
    <row r="80" ht="15.75" customHeight="1">
      <c r="A80" s="84"/>
      <c r="B80" s="84"/>
    </row>
    <row r="81" ht="15.75" customHeight="1">
      <c r="A81" s="84"/>
      <c r="B81" s="84"/>
    </row>
    <row r="82" ht="15.75" customHeight="1">
      <c r="A82" s="84"/>
      <c r="B82" s="84"/>
    </row>
    <row r="83" ht="15.75" customHeight="1">
      <c r="A83" s="84"/>
      <c r="B83" s="84"/>
    </row>
    <row r="84" ht="15.75" customHeight="1">
      <c r="A84" s="84"/>
      <c r="B84" s="84"/>
    </row>
    <row r="85" ht="15.75" customHeight="1">
      <c r="A85" s="84"/>
      <c r="B85" s="84"/>
    </row>
    <row r="86" ht="15.75" customHeight="1">
      <c r="A86" s="84"/>
      <c r="B86" s="84"/>
    </row>
    <row r="87" ht="15.75" customHeight="1">
      <c r="A87" s="84"/>
      <c r="B87" s="84"/>
    </row>
    <row r="88" ht="15.75" customHeight="1">
      <c r="A88" s="84"/>
      <c r="B88" s="84"/>
    </row>
    <row r="89" ht="15.75" customHeight="1">
      <c r="A89" s="84"/>
      <c r="B89" s="84"/>
    </row>
    <row r="90" ht="15.75" customHeight="1">
      <c r="A90" s="84"/>
      <c r="B90" s="84"/>
    </row>
    <row r="91" ht="15.75" customHeight="1">
      <c r="A91" s="84"/>
      <c r="B91" s="84"/>
    </row>
    <row r="92" ht="15.75" customHeight="1">
      <c r="A92" s="84"/>
      <c r="B92" s="84"/>
    </row>
    <row r="93" ht="15.75" customHeight="1">
      <c r="A93" s="84"/>
      <c r="B93" s="84"/>
    </row>
    <row r="94" ht="15.75" customHeight="1">
      <c r="A94" s="84"/>
      <c r="B94" s="84"/>
    </row>
    <row r="95" ht="15.75" customHeight="1">
      <c r="A95" s="84"/>
      <c r="B95" s="84"/>
    </row>
    <row r="96" ht="15.75" customHeight="1">
      <c r="A96" s="84"/>
      <c r="B96" s="84"/>
    </row>
    <row r="97" ht="15.75" customHeight="1">
      <c r="A97" s="84"/>
      <c r="B97" s="84"/>
    </row>
    <row r="98" ht="15.75" customHeight="1">
      <c r="A98" s="84"/>
      <c r="B98" s="84"/>
    </row>
    <row r="99" ht="15.75" customHeight="1">
      <c r="A99" s="84"/>
      <c r="B99" s="84"/>
    </row>
    <row r="100" ht="15.75" customHeight="1">
      <c r="A100" s="84"/>
      <c r="B100" s="84"/>
    </row>
    <row r="101" ht="15.75" customHeight="1">
      <c r="A101" s="84"/>
      <c r="B101" s="84"/>
    </row>
    <row r="102" ht="15.75" customHeight="1">
      <c r="A102" s="84"/>
      <c r="B102" s="84"/>
    </row>
    <row r="103" ht="15.75" customHeight="1">
      <c r="A103" s="84"/>
      <c r="B103" s="84"/>
    </row>
    <row r="104" ht="15.75" customHeight="1">
      <c r="A104" s="84"/>
      <c r="B104" s="84"/>
    </row>
    <row r="105" ht="15.75" customHeight="1">
      <c r="A105" s="84"/>
      <c r="B105" s="84"/>
    </row>
    <row r="106" ht="15.75" customHeight="1">
      <c r="A106" s="84"/>
      <c r="B106" s="84"/>
    </row>
    <row r="107" ht="15.75" customHeight="1">
      <c r="A107" s="84"/>
      <c r="B107" s="84"/>
    </row>
    <row r="108" ht="15.75" customHeight="1">
      <c r="A108" s="84"/>
      <c r="B108" s="84"/>
    </row>
    <row r="109" ht="15.75" customHeight="1">
      <c r="A109" s="84"/>
      <c r="B109" s="84"/>
    </row>
    <row r="110" ht="15.75" customHeight="1">
      <c r="A110" s="84"/>
      <c r="B110" s="84"/>
    </row>
    <row r="111" ht="15.75" customHeight="1">
      <c r="A111" s="84"/>
      <c r="B111" s="84"/>
    </row>
    <row r="112" ht="15.75" customHeight="1">
      <c r="A112" s="84"/>
      <c r="B112" s="84"/>
    </row>
    <row r="113" ht="15.75" customHeight="1">
      <c r="A113" s="84"/>
      <c r="B113" s="84"/>
    </row>
    <row r="114" ht="15.75" customHeight="1">
      <c r="A114" s="84"/>
      <c r="B114" s="84"/>
    </row>
    <row r="115" ht="15.75" customHeight="1">
      <c r="A115" s="84"/>
      <c r="B115" s="84"/>
    </row>
    <row r="116" ht="15.75" customHeight="1">
      <c r="A116" s="84"/>
      <c r="B116" s="84"/>
    </row>
    <row r="117" ht="15.75" customHeight="1">
      <c r="A117" s="84"/>
      <c r="B117" s="84"/>
    </row>
    <row r="118" ht="15.75" customHeight="1">
      <c r="A118" s="84"/>
      <c r="B118" s="84"/>
    </row>
    <row r="119" ht="15.75" customHeight="1">
      <c r="A119" s="84"/>
      <c r="B119" s="84"/>
    </row>
    <row r="120" ht="15.75" customHeight="1">
      <c r="A120" s="84"/>
      <c r="B120" s="84"/>
    </row>
    <row r="121" ht="15.75" customHeight="1">
      <c r="A121" s="84"/>
      <c r="B121" s="84"/>
    </row>
    <row r="122" ht="15.75" customHeight="1">
      <c r="A122" s="84"/>
      <c r="B122" s="84"/>
    </row>
    <row r="123" ht="15.75" customHeight="1">
      <c r="A123" s="84"/>
      <c r="B123" s="84"/>
    </row>
    <row r="124" ht="15.75" customHeight="1">
      <c r="A124" s="84"/>
      <c r="B124" s="84"/>
    </row>
    <row r="125" ht="15.75" customHeight="1">
      <c r="A125" s="84"/>
      <c r="B125" s="84"/>
    </row>
    <row r="126" ht="15.75" customHeight="1">
      <c r="A126" s="84"/>
      <c r="B126" s="84"/>
    </row>
    <row r="127" ht="15.75" customHeight="1">
      <c r="A127" s="84"/>
      <c r="B127" s="84"/>
    </row>
    <row r="128" ht="15.75" customHeight="1">
      <c r="A128" s="84"/>
      <c r="B128" s="84"/>
    </row>
    <row r="129" ht="15.75" customHeight="1">
      <c r="A129" s="84"/>
      <c r="B129" s="84"/>
    </row>
    <row r="130" ht="15.75" customHeight="1">
      <c r="A130" s="84"/>
      <c r="B130" s="84"/>
    </row>
    <row r="131" ht="15.75" customHeight="1">
      <c r="A131" s="84"/>
      <c r="B131" s="84"/>
    </row>
    <row r="132" ht="15.75" customHeight="1">
      <c r="A132" s="84"/>
      <c r="B132" s="84"/>
    </row>
    <row r="133" ht="15.75" customHeight="1">
      <c r="A133" s="84"/>
      <c r="B133" s="84"/>
    </row>
    <row r="134" ht="15.75" customHeight="1">
      <c r="A134" s="84"/>
      <c r="B134" s="84"/>
    </row>
    <row r="135" ht="15.75" customHeight="1">
      <c r="A135" s="84"/>
      <c r="B135" s="84"/>
    </row>
    <row r="136" ht="15.75" customHeight="1">
      <c r="A136" s="84"/>
      <c r="B136" s="84"/>
    </row>
    <row r="137" ht="15.75" customHeight="1">
      <c r="A137" s="84"/>
      <c r="B137" s="84"/>
    </row>
    <row r="138" ht="15.75" customHeight="1">
      <c r="A138" s="84"/>
      <c r="B138" s="84"/>
    </row>
    <row r="139" ht="15.75" customHeight="1">
      <c r="A139" s="84"/>
      <c r="B139" s="84"/>
    </row>
    <row r="140" ht="15.75" customHeight="1">
      <c r="A140" s="84"/>
      <c r="B140" s="84"/>
    </row>
    <row r="141" ht="15.75" customHeight="1">
      <c r="A141" s="84"/>
      <c r="B141" s="84"/>
    </row>
    <row r="142" ht="15.75" customHeight="1">
      <c r="A142" s="84"/>
      <c r="B142" s="84"/>
    </row>
    <row r="143" ht="15.75" customHeight="1">
      <c r="A143" s="84"/>
      <c r="B143" s="84"/>
    </row>
    <row r="144" ht="15.75" customHeight="1">
      <c r="A144" s="84"/>
      <c r="B144" s="84"/>
    </row>
    <row r="145" ht="15.75" customHeight="1">
      <c r="A145" s="84"/>
      <c r="B145" s="84"/>
    </row>
    <row r="146" ht="15.75" customHeight="1">
      <c r="A146" s="84"/>
      <c r="B146" s="84"/>
    </row>
    <row r="147" ht="15.75" customHeight="1">
      <c r="A147" s="84"/>
      <c r="B147" s="84"/>
    </row>
    <row r="148" ht="15.75" customHeight="1">
      <c r="A148" s="84"/>
      <c r="B148" s="84"/>
    </row>
    <row r="149" ht="15.75" customHeight="1">
      <c r="A149" s="84"/>
      <c r="B149" s="84"/>
    </row>
    <row r="150" ht="15.75" customHeight="1">
      <c r="A150" s="84"/>
      <c r="B150" s="84"/>
    </row>
    <row r="151" ht="15.75" customHeight="1">
      <c r="A151" s="84"/>
      <c r="B151" s="84"/>
    </row>
    <row r="152" ht="15.75" customHeight="1">
      <c r="A152" s="84"/>
      <c r="B152" s="84"/>
    </row>
    <row r="153" ht="15.75" customHeight="1">
      <c r="A153" s="84"/>
      <c r="B153" s="84"/>
    </row>
    <row r="154" ht="15.75" customHeight="1">
      <c r="A154" s="84"/>
      <c r="B154" s="84"/>
    </row>
    <row r="155" ht="15.75" customHeight="1">
      <c r="A155" s="84"/>
      <c r="B155" s="84"/>
    </row>
    <row r="156" ht="15.75" customHeight="1">
      <c r="A156" s="84"/>
      <c r="B156" s="84"/>
    </row>
    <row r="157" ht="15.75" customHeight="1">
      <c r="A157" s="84"/>
      <c r="B157" s="84"/>
    </row>
    <row r="158" ht="15.75" customHeight="1">
      <c r="A158" s="84"/>
      <c r="B158" s="84"/>
    </row>
    <row r="159" ht="15.75" customHeight="1">
      <c r="A159" s="84"/>
      <c r="B159" s="84"/>
    </row>
    <row r="160" ht="15.75" customHeight="1">
      <c r="A160" s="84"/>
      <c r="B160" s="84"/>
    </row>
    <row r="161" ht="15.75" customHeight="1">
      <c r="A161" s="84"/>
      <c r="B161" s="84"/>
    </row>
    <row r="162" ht="15.75" customHeight="1">
      <c r="A162" s="84"/>
      <c r="B162" s="84"/>
    </row>
    <row r="163" ht="15.75" customHeight="1">
      <c r="A163" s="84"/>
      <c r="B163" s="84"/>
    </row>
    <row r="164" ht="15.75" customHeight="1">
      <c r="A164" s="84"/>
      <c r="B164" s="84"/>
    </row>
    <row r="165" ht="15.75" customHeight="1">
      <c r="A165" s="84"/>
      <c r="B165" s="84"/>
    </row>
    <row r="166" ht="15.75" customHeight="1">
      <c r="A166" s="84"/>
      <c r="B166" s="84"/>
    </row>
    <row r="167" ht="15.75" customHeight="1">
      <c r="A167" s="84"/>
      <c r="B167" s="84"/>
    </row>
    <row r="168" ht="15.75" customHeight="1">
      <c r="A168" s="84"/>
      <c r="B168" s="84"/>
    </row>
    <row r="169" ht="15.75" customHeight="1">
      <c r="A169" s="84"/>
      <c r="B169" s="84"/>
    </row>
    <row r="170" ht="15.75" customHeight="1">
      <c r="A170" s="84"/>
      <c r="B170" s="84"/>
    </row>
    <row r="171" ht="15.75" customHeight="1">
      <c r="A171" s="84"/>
      <c r="B171" s="84"/>
    </row>
    <row r="172" ht="15.75" customHeight="1">
      <c r="A172" s="84"/>
      <c r="B172" s="84"/>
    </row>
    <row r="173" ht="15.75" customHeight="1">
      <c r="A173" s="84"/>
      <c r="B173" s="84"/>
    </row>
    <row r="174" ht="15.75" customHeight="1">
      <c r="A174" s="84"/>
      <c r="B174" s="84"/>
    </row>
    <row r="175" ht="15.75" customHeight="1">
      <c r="A175" s="84"/>
      <c r="B175" s="84"/>
    </row>
    <row r="176" ht="15.75" customHeight="1">
      <c r="A176" s="84"/>
      <c r="B176" s="84"/>
    </row>
    <row r="177" ht="15.75" customHeight="1">
      <c r="A177" s="84"/>
      <c r="B177" s="84"/>
    </row>
    <row r="178" ht="15.75" customHeight="1">
      <c r="A178" s="84"/>
      <c r="B178" s="84"/>
    </row>
    <row r="179" ht="15.75" customHeight="1">
      <c r="A179" s="84"/>
      <c r="B179" s="84"/>
    </row>
    <row r="180" ht="15.75" customHeight="1">
      <c r="A180" s="84"/>
      <c r="B180" s="84"/>
    </row>
    <row r="181" ht="15.75" customHeight="1">
      <c r="A181" s="84"/>
      <c r="B181" s="84"/>
    </row>
    <row r="182" ht="15.75" customHeight="1">
      <c r="A182" s="84"/>
      <c r="B182" s="84"/>
    </row>
    <row r="183" ht="15.75" customHeight="1">
      <c r="A183" s="84"/>
      <c r="B183" s="84"/>
    </row>
    <row r="184" ht="15.75" customHeight="1">
      <c r="A184" s="84"/>
      <c r="B184" s="84"/>
    </row>
    <row r="185" ht="15.75" customHeight="1">
      <c r="A185" s="84"/>
      <c r="B185" s="84"/>
    </row>
    <row r="186" ht="15.75" customHeight="1">
      <c r="A186" s="84"/>
      <c r="B186" s="84"/>
    </row>
    <row r="187" ht="15.75" customHeight="1">
      <c r="A187" s="84"/>
      <c r="B187" s="84"/>
    </row>
    <row r="188" ht="15.75" customHeight="1">
      <c r="A188" s="84"/>
      <c r="B188" s="84"/>
    </row>
    <row r="189" ht="15.75" customHeight="1">
      <c r="A189" s="84"/>
      <c r="B189" s="84"/>
    </row>
    <row r="190" ht="15.75" customHeight="1">
      <c r="A190" s="84"/>
      <c r="B190" s="84"/>
    </row>
    <row r="191" ht="15.75" customHeight="1">
      <c r="A191" s="84"/>
      <c r="B191" s="84"/>
    </row>
    <row r="192" ht="15.75" customHeight="1">
      <c r="A192" s="84"/>
      <c r="B192" s="84"/>
    </row>
    <row r="193" ht="15.75" customHeight="1">
      <c r="A193" s="84"/>
      <c r="B193" s="84"/>
    </row>
    <row r="194" ht="15.75" customHeight="1">
      <c r="A194" s="84"/>
      <c r="B194" s="84"/>
    </row>
    <row r="195" ht="15.75" customHeight="1">
      <c r="A195" s="84"/>
      <c r="B195" s="84"/>
    </row>
    <row r="196" ht="15.75" customHeight="1">
      <c r="A196" s="84"/>
      <c r="B196" s="84"/>
    </row>
    <row r="197" ht="15.75" customHeight="1">
      <c r="A197" s="84"/>
      <c r="B197" s="84"/>
    </row>
    <row r="198" ht="15.75" customHeight="1">
      <c r="A198" s="84"/>
      <c r="B198" s="84"/>
    </row>
    <row r="199" ht="15.75" customHeight="1">
      <c r="A199" s="84"/>
      <c r="B199" s="84"/>
    </row>
    <row r="200" ht="15.75" customHeight="1">
      <c r="A200" s="84"/>
      <c r="B200" s="84"/>
    </row>
    <row r="201" ht="15.75" customHeight="1">
      <c r="A201" s="84"/>
      <c r="B201" s="84"/>
    </row>
    <row r="202" ht="15.75" customHeight="1">
      <c r="A202" s="84"/>
      <c r="B202" s="84"/>
    </row>
    <row r="203" ht="15.75" customHeight="1">
      <c r="A203" s="84"/>
      <c r="B203" s="84"/>
    </row>
    <row r="204" ht="15.75" customHeight="1">
      <c r="A204" s="84"/>
      <c r="B204" s="84"/>
    </row>
    <row r="205" ht="15.75" customHeight="1">
      <c r="A205" s="84"/>
      <c r="B205" s="84"/>
    </row>
    <row r="206" ht="15.75" customHeight="1">
      <c r="A206" s="84"/>
      <c r="B206" s="84"/>
    </row>
    <row r="207" ht="15.75" customHeight="1">
      <c r="A207" s="84"/>
      <c r="B207" s="84"/>
    </row>
    <row r="208" ht="15.75" customHeight="1">
      <c r="A208" s="84"/>
      <c r="B208" s="84"/>
    </row>
    <row r="209" ht="15.75" customHeight="1">
      <c r="A209" s="84"/>
      <c r="B209" s="84"/>
    </row>
    <row r="210" ht="15.75" customHeight="1">
      <c r="A210" s="84"/>
      <c r="B210" s="84"/>
    </row>
    <row r="211" ht="15.75" customHeight="1">
      <c r="A211" s="84"/>
      <c r="B211" s="84"/>
    </row>
    <row r="212" ht="15.75" customHeight="1">
      <c r="A212" s="84"/>
      <c r="B212" s="84"/>
    </row>
    <row r="213" ht="15.75" customHeight="1">
      <c r="A213" s="84"/>
      <c r="B213" s="84"/>
    </row>
    <row r="214" ht="15.75" customHeight="1">
      <c r="A214" s="84"/>
      <c r="B214" s="84"/>
    </row>
    <row r="215" ht="15.75" customHeight="1">
      <c r="A215" s="84"/>
      <c r="B215" s="84"/>
    </row>
    <row r="216" ht="15.75" customHeight="1">
      <c r="A216" s="84"/>
      <c r="B216" s="84"/>
    </row>
    <row r="217" ht="15.75" customHeight="1">
      <c r="A217" s="84"/>
      <c r="B217" s="84"/>
    </row>
    <row r="218" ht="15.75" customHeight="1">
      <c r="A218" s="84"/>
      <c r="B218" s="84"/>
    </row>
    <row r="219" ht="15.75" customHeight="1">
      <c r="A219" s="84"/>
      <c r="B219" s="84"/>
    </row>
    <row r="220" ht="15.75" customHeight="1">
      <c r="A220" s="84"/>
      <c r="B220" s="84"/>
    </row>
    <row r="221" ht="15.75" customHeight="1">
      <c r="A221" s="84"/>
      <c r="B221" s="84"/>
    </row>
    <row r="222" ht="15.75" customHeight="1">
      <c r="A222" s="84"/>
      <c r="B222" s="84"/>
    </row>
    <row r="223" ht="15.75" customHeight="1">
      <c r="A223" s="84"/>
      <c r="B223" s="84"/>
    </row>
    <row r="224" ht="15.75" customHeight="1">
      <c r="A224" s="84"/>
      <c r="B224" s="84"/>
    </row>
    <row r="225" ht="15.75" customHeight="1">
      <c r="A225" s="84"/>
      <c r="B225" s="84"/>
    </row>
    <row r="226" ht="15.75" customHeight="1">
      <c r="A226" s="84"/>
      <c r="B226" s="84"/>
    </row>
    <row r="227" ht="15.75" customHeight="1">
      <c r="A227" s="84"/>
      <c r="B227" s="84"/>
    </row>
    <row r="228" ht="15.75" customHeight="1">
      <c r="A228" s="84"/>
      <c r="B228" s="84"/>
    </row>
    <row r="229" ht="15.75" customHeight="1">
      <c r="A229" s="84"/>
      <c r="B229" s="84"/>
    </row>
    <row r="230" ht="15.75" customHeight="1">
      <c r="A230" s="84"/>
      <c r="B230" s="84"/>
    </row>
    <row r="231" ht="15.75" customHeight="1">
      <c r="A231" s="84"/>
      <c r="B231" s="84"/>
    </row>
    <row r="232" ht="15.75" customHeight="1">
      <c r="A232" s="84"/>
      <c r="B232" s="84"/>
    </row>
    <row r="233" ht="15.75" customHeight="1">
      <c r="A233" s="84"/>
      <c r="B233" s="84"/>
    </row>
    <row r="234" ht="15.75" customHeight="1">
      <c r="A234" s="84"/>
      <c r="B234" s="84"/>
    </row>
    <row r="235" ht="15.75" customHeight="1">
      <c r="A235" s="84"/>
      <c r="B235" s="84"/>
    </row>
    <row r="236" ht="15.75" customHeight="1">
      <c r="A236" s="84"/>
      <c r="B236" s="84"/>
    </row>
    <row r="237" ht="15.75" customHeight="1">
      <c r="A237" s="84"/>
      <c r="B237" s="84"/>
    </row>
    <row r="238" ht="15.75" customHeight="1">
      <c r="A238" s="84"/>
      <c r="B238" s="84"/>
    </row>
    <row r="239" ht="15.75" customHeight="1">
      <c r="A239" s="84"/>
      <c r="B239" s="84"/>
    </row>
    <row r="240" ht="15.75" customHeight="1">
      <c r="A240" s="84"/>
      <c r="B240" s="84"/>
    </row>
    <row r="241" ht="15.75" customHeight="1">
      <c r="A241" s="84"/>
      <c r="B241" s="84"/>
    </row>
    <row r="242" ht="15.75" customHeight="1">
      <c r="A242" s="84"/>
      <c r="B242" s="84"/>
    </row>
    <row r="243" ht="15.75" customHeight="1">
      <c r="A243" s="84"/>
      <c r="B243" s="84"/>
    </row>
    <row r="244" ht="15.75" customHeight="1">
      <c r="A244" s="84"/>
      <c r="B244" s="84"/>
    </row>
    <row r="245" ht="15.75" customHeight="1">
      <c r="A245" s="84"/>
      <c r="B245" s="84"/>
    </row>
    <row r="246" ht="15.75" customHeight="1">
      <c r="A246" s="84"/>
      <c r="B246" s="84"/>
    </row>
    <row r="247" ht="15.75" customHeight="1">
      <c r="A247" s="84"/>
      <c r="B247" s="84"/>
    </row>
    <row r="248" ht="15.75" customHeight="1">
      <c r="A248" s="84"/>
      <c r="B248" s="84"/>
    </row>
    <row r="249" ht="15.75" customHeight="1">
      <c r="A249" s="84"/>
      <c r="B249" s="84"/>
    </row>
    <row r="250" ht="15.75" customHeight="1">
      <c r="A250" s="84"/>
      <c r="B250" s="84"/>
    </row>
    <row r="251" ht="15.75" customHeight="1">
      <c r="A251" s="84"/>
      <c r="B251" s="84"/>
    </row>
    <row r="252" ht="15.75" customHeight="1">
      <c r="A252" s="84"/>
      <c r="B252" s="84"/>
    </row>
    <row r="253" ht="15.75" customHeight="1">
      <c r="A253" s="84"/>
      <c r="B253" s="84"/>
    </row>
    <row r="254" ht="15.75" customHeight="1">
      <c r="A254" s="84"/>
      <c r="B254" s="84"/>
    </row>
    <row r="255" ht="15.75" customHeight="1">
      <c r="A255" s="84"/>
      <c r="B255" s="84"/>
    </row>
    <row r="256" ht="15.75" customHeight="1">
      <c r="A256" s="84"/>
      <c r="B256" s="84"/>
    </row>
    <row r="257" ht="15.75" customHeight="1">
      <c r="A257" s="84"/>
      <c r="B257" s="84"/>
    </row>
    <row r="258" ht="15.75" customHeight="1">
      <c r="A258" s="84"/>
      <c r="B258" s="84"/>
    </row>
    <row r="259" ht="15.75" customHeight="1">
      <c r="A259" s="84"/>
      <c r="B259" s="84"/>
    </row>
    <row r="260" ht="15.75" customHeight="1">
      <c r="A260" s="84"/>
      <c r="B260" s="84"/>
    </row>
    <row r="261" ht="15.75" customHeight="1">
      <c r="A261" s="84"/>
      <c r="B261" s="84"/>
    </row>
    <row r="262" ht="15.75" customHeight="1">
      <c r="A262" s="84"/>
      <c r="B262" s="84"/>
    </row>
    <row r="263" ht="15.75" customHeight="1">
      <c r="A263" s="84"/>
      <c r="B263" s="84"/>
    </row>
    <row r="264" ht="15.75" customHeight="1">
      <c r="A264" s="84"/>
      <c r="B264" s="84"/>
    </row>
    <row r="265" ht="15.75" customHeight="1">
      <c r="A265" s="84"/>
      <c r="B265" s="84"/>
    </row>
    <row r="266" ht="15.75" customHeight="1">
      <c r="A266" s="84"/>
      <c r="B266" s="84"/>
    </row>
    <row r="267" ht="15.75" customHeight="1">
      <c r="A267" s="84"/>
      <c r="B267" s="84"/>
    </row>
    <row r="268" ht="15.75" customHeight="1">
      <c r="A268" s="84"/>
      <c r="B268" s="84"/>
    </row>
    <row r="269" ht="15.75" customHeight="1">
      <c r="A269" s="84"/>
      <c r="B269" s="84"/>
    </row>
    <row r="270" ht="15.75" customHeight="1">
      <c r="A270" s="84"/>
      <c r="B270" s="84"/>
    </row>
    <row r="271" ht="15.75" customHeight="1">
      <c r="A271" s="84"/>
      <c r="B271" s="84"/>
    </row>
    <row r="272" ht="15.75" customHeight="1">
      <c r="A272" s="84"/>
      <c r="B272" s="84"/>
    </row>
    <row r="273" ht="15.75" customHeight="1">
      <c r="A273" s="84"/>
      <c r="B273" s="84"/>
    </row>
    <row r="274" ht="15.75" customHeight="1">
      <c r="A274" s="84"/>
      <c r="B274" s="84"/>
    </row>
    <row r="275" ht="15.75" customHeight="1">
      <c r="A275" s="84"/>
      <c r="B275" s="84"/>
    </row>
    <row r="276" ht="15.75" customHeight="1">
      <c r="A276" s="84"/>
      <c r="B276" s="84"/>
    </row>
    <row r="277" ht="15.75" customHeight="1">
      <c r="A277" s="84"/>
      <c r="B277" s="84"/>
    </row>
    <row r="278" ht="15.75" customHeight="1">
      <c r="A278" s="84"/>
      <c r="B278" s="84"/>
    </row>
    <row r="279" ht="15.75" customHeight="1">
      <c r="A279" s="84"/>
      <c r="B279" s="84"/>
    </row>
    <row r="280" ht="15.75" customHeight="1">
      <c r="A280" s="84"/>
      <c r="B280" s="84"/>
    </row>
    <row r="281" ht="15.75" customHeight="1">
      <c r="A281" s="84"/>
      <c r="B281" s="84"/>
    </row>
    <row r="282" ht="15.75" customHeight="1">
      <c r="A282" s="84"/>
      <c r="B282" s="84"/>
    </row>
    <row r="283" ht="15.75" customHeight="1">
      <c r="A283" s="84"/>
      <c r="B283" s="84"/>
    </row>
    <row r="284" ht="15.75" customHeight="1">
      <c r="A284" s="84"/>
      <c r="B284" s="84"/>
    </row>
    <row r="285" ht="15.75" customHeight="1">
      <c r="A285" s="84"/>
      <c r="B285" s="84"/>
    </row>
    <row r="286" ht="15.75" customHeight="1">
      <c r="A286" s="84"/>
      <c r="B286" s="84"/>
    </row>
    <row r="287" ht="15.75" customHeight="1">
      <c r="A287" s="84"/>
      <c r="B287" s="84"/>
    </row>
    <row r="288" ht="15.75" customHeight="1">
      <c r="A288" s="84"/>
      <c r="B288" s="84"/>
    </row>
    <row r="289" ht="15.75" customHeight="1">
      <c r="A289" s="84"/>
      <c r="B289" s="84"/>
    </row>
    <row r="290" ht="15.75" customHeight="1">
      <c r="A290" s="84"/>
      <c r="B290" s="84"/>
    </row>
    <row r="291" ht="15.75" customHeight="1">
      <c r="A291" s="84"/>
      <c r="B291" s="84"/>
    </row>
    <row r="292" ht="15.75" customHeight="1">
      <c r="A292" s="84"/>
      <c r="B292" s="84"/>
    </row>
    <row r="293" ht="15.75" customHeight="1">
      <c r="A293" s="84"/>
      <c r="B293" s="84"/>
    </row>
    <row r="294" ht="15.75" customHeight="1">
      <c r="A294" s="84"/>
      <c r="B294" s="84"/>
    </row>
    <row r="295" ht="15.75" customHeight="1">
      <c r="A295" s="84"/>
      <c r="B295" s="84"/>
    </row>
    <row r="296" ht="15.75" customHeight="1">
      <c r="A296" s="84"/>
      <c r="B296" s="84"/>
    </row>
    <row r="297" ht="15.75" customHeight="1">
      <c r="A297" s="84"/>
      <c r="B297" s="84"/>
    </row>
    <row r="298" ht="15.75" customHeight="1">
      <c r="A298" s="84"/>
      <c r="B298" s="84"/>
    </row>
    <row r="299" ht="15.75" customHeight="1">
      <c r="A299" s="84"/>
      <c r="B299" s="84"/>
    </row>
    <row r="300" ht="15.75" customHeight="1">
      <c r="A300" s="84"/>
      <c r="B300" s="84"/>
    </row>
    <row r="301" ht="15.75" customHeight="1">
      <c r="A301" s="84"/>
      <c r="B301" s="84"/>
    </row>
    <row r="302" ht="15.75" customHeight="1">
      <c r="A302" s="84"/>
      <c r="B302" s="84"/>
    </row>
    <row r="303" ht="15.75" customHeight="1">
      <c r="A303" s="84"/>
      <c r="B303" s="84"/>
    </row>
    <row r="304" ht="15.75" customHeight="1">
      <c r="A304" s="84"/>
      <c r="B304" s="84"/>
    </row>
    <row r="305" ht="15.75" customHeight="1">
      <c r="A305" s="84"/>
      <c r="B305" s="84"/>
    </row>
    <row r="306" ht="15.75" customHeight="1">
      <c r="A306" s="84"/>
      <c r="B306" s="84"/>
    </row>
    <row r="307" ht="15.75" customHeight="1">
      <c r="A307" s="84"/>
      <c r="B307" s="84"/>
    </row>
    <row r="308" ht="15.75" customHeight="1">
      <c r="A308" s="84"/>
      <c r="B308" s="84"/>
    </row>
    <row r="309" ht="15.75" customHeight="1">
      <c r="A309" s="84"/>
      <c r="B309" s="84"/>
    </row>
    <row r="310" ht="15.75" customHeight="1">
      <c r="A310" s="84"/>
      <c r="B310" s="84"/>
    </row>
    <row r="311" ht="15.75" customHeight="1">
      <c r="A311" s="84"/>
      <c r="B311" s="84"/>
    </row>
    <row r="312" ht="15.75" customHeight="1">
      <c r="A312" s="84"/>
      <c r="B312" s="84"/>
    </row>
    <row r="313" ht="15.75" customHeight="1">
      <c r="A313" s="84"/>
      <c r="B313" s="84"/>
    </row>
    <row r="314" ht="15.75" customHeight="1">
      <c r="A314" s="84"/>
      <c r="B314" s="84"/>
    </row>
    <row r="315" ht="15.75" customHeight="1">
      <c r="A315" s="84"/>
      <c r="B315" s="84"/>
    </row>
    <row r="316" ht="15.75" customHeight="1">
      <c r="A316" s="84"/>
      <c r="B316" s="84"/>
    </row>
    <row r="317" ht="15.75" customHeight="1">
      <c r="A317" s="84"/>
      <c r="B317" s="84"/>
    </row>
    <row r="318" ht="15.75" customHeight="1">
      <c r="A318" s="84"/>
      <c r="B318" s="84"/>
    </row>
    <row r="319" ht="15.75" customHeight="1">
      <c r="A319" s="84"/>
      <c r="B319" s="84"/>
    </row>
    <row r="320" ht="15.75" customHeight="1">
      <c r="A320" s="84"/>
      <c r="B320" s="84"/>
    </row>
    <row r="321" ht="15.75" customHeight="1">
      <c r="A321" s="84"/>
      <c r="B321" s="84"/>
    </row>
    <row r="322" ht="15.75" customHeight="1">
      <c r="A322" s="84"/>
      <c r="B322" s="84"/>
    </row>
    <row r="323" ht="15.75" customHeight="1">
      <c r="A323" s="84"/>
      <c r="B323" s="84"/>
    </row>
    <row r="324" ht="15.75" customHeight="1">
      <c r="A324" s="84"/>
      <c r="B324" s="84"/>
    </row>
    <row r="325" ht="15.75" customHeight="1">
      <c r="A325" s="84"/>
      <c r="B325" s="84"/>
    </row>
    <row r="326" ht="15.75" customHeight="1">
      <c r="A326" s="84"/>
      <c r="B326" s="84"/>
    </row>
    <row r="327" ht="15.75" customHeight="1">
      <c r="A327" s="84"/>
      <c r="B327" s="84"/>
    </row>
    <row r="328" ht="15.75" customHeight="1">
      <c r="A328" s="84"/>
      <c r="B328" s="84"/>
    </row>
    <row r="329" ht="15.75" customHeight="1">
      <c r="A329" s="84"/>
      <c r="B329" s="84"/>
    </row>
    <row r="330" ht="15.75" customHeight="1">
      <c r="A330" s="84"/>
      <c r="B330" s="84"/>
    </row>
    <row r="331" ht="15.75" customHeight="1">
      <c r="A331" s="84"/>
      <c r="B331" s="84"/>
    </row>
    <row r="332" ht="15.75" customHeight="1">
      <c r="A332" s="84"/>
      <c r="B332" s="84"/>
    </row>
    <row r="333" ht="15.75" customHeight="1">
      <c r="A333" s="84"/>
      <c r="B333" s="84"/>
    </row>
    <row r="334" ht="15.75" customHeight="1">
      <c r="A334" s="84"/>
      <c r="B334" s="84"/>
    </row>
    <row r="335" ht="15.75" customHeight="1">
      <c r="A335" s="84"/>
      <c r="B335" s="84"/>
    </row>
    <row r="336" ht="15.75" customHeight="1">
      <c r="A336" s="84"/>
      <c r="B336" s="84"/>
    </row>
    <row r="337" ht="15.75" customHeight="1">
      <c r="A337" s="84"/>
      <c r="B337" s="84"/>
    </row>
    <row r="338" ht="15.75" customHeight="1">
      <c r="A338" s="84"/>
      <c r="B338" s="84"/>
    </row>
    <row r="339" ht="15.75" customHeight="1">
      <c r="A339" s="84"/>
      <c r="B339" s="84"/>
    </row>
    <row r="340" ht="15.75" customHeight="1">
      <c r="A340" s="84"/>
      <c r="B340" s="84"/>
    </row>
    <row r="341" ht="15.75" customHeight="1">
      <c r="A341" s="84"/>
      <c r="B341" s="84"/>
    </row>
    <row r="342" ht="15.75" customHeight="1">
      <c r="A342" s="84"/>
      <c r="B342" s="84"/>
    </row>
    <row r="343" ht="15.75" customHeight="1">
      <c r="A343" s="84"/>
      <c r="B343" s="84"/>
    </row>
    <row r="344" ht="15.75" customHeight="1">
      <c r="A344" s="84"/>
      <c r="B344" s="84"/>
    </row>
    <row r="345" ht="15.75" customHeight="1">
      <c r="A345" s="84"/>
      <c r="B345" s="84"/>
    </row>
    <row r="346" ht="15.75" customHeight="1">
      <c r="A346" s="84"/>
      <c r="B346" s="84"/>
    </row>
    <row r="347" ht="15.75" customHeight="1">
      <c r="A347" s="84"/>
      <c r="B347" s="84"/>
    </row>
    <row r="348" ht="15.75" customHeight="1">
      <c r="A348" s="84"/>
      <c r="B348" s="84"/>
    </row>
    <row r="349" ht="15.75" customHeight="1">
      <c r="A349" s="84"/>
      <c r="B349" s="84"/>
    </row>
    <row r="350" ht="15.75" customHeight="1">
      <c r="A350" s="84"/>
      <c r="B350" s="84"/>
    </row>
    <row r="351" ht="15.75" customHeight="1">
      <c r="A351" s="84"/>
      <c r="B351" s="84"/>
    </row>
    <row r="352" ht="15.75" customHeight="1">
      <c r="A352" s="84"/>
      <c r="B352" s="84"/>
    </row>
    <row r="353" ht="15.75" customHeight="1">
      <c r="A353" s="84"/>
      <c r="B353" s="84"/>
    </row>
    <row r="354" ht="15.75" customHeight="1">
      <c r="A354" s="84"/>
      <c r="B354" s="84"/>
    </row>
    <row r="355" ht="15.75" customHeight="1">
      <c r="A355" s="84"/>
      <c r="B355" s="84"/>
    </row>
    <row r="356" ht="15.75" customHeight="1">
      <c r="A356" s="84"/>
      <c r="B356" s="84"/>
    </row>
    <row r="357" ht="15.75" customHeight="1">
      <c r="A357" s="84"/>
      <c r="B357" s="84"/>
    </row>
    <row r="358" ht="15.75" customHeight="1">
      <c r="A358" s="84"/>
      <c r="B358" s="84"/>
    </row>
    <row r="359" ht="15.75" customHeight="1">
      <c r="A359" s="84"/>
      <c r="B359" s="84"/>
    </row>
    <row r="360" ht="15.75" customHeight="1">
      <c r="A360" s="84"/>
      <c r="B360" s="84"/>
    </row>
    <row r="361" ht="15.75" customHeight="1">
      <c r="A361" s="84"/>
      <c r="B361" s="84"/>
    </row>
    <row r="362" ht="15.75" customHeight="1">
      <c r="A362" s="84"/>
      <c r="B362" s="84"/>
    </row>
    <row r="363" ht="15.75" customHeight="1">
      <c r="A363" s="84"/>
      <c r="B363" s="84"/>
    </row>
    <row r="364" ht="15.75" customHeight="1">
      <c r="A364" s="84"/>
      <c r="B364" s="84"/>
    </row>
    <row r="365" ht="15.75" customHeight="1">
      <c r="A365" s="84"/>
      <c r="B365" s="84"/>
    </row>
    <row r="366" ht="15.75" customHeight="1">
      <c r="A366" s="84"/>
      <c r="B366" s="84"/>
    </row>
    <row r="367" ht="15.75" customHeight="1">
      <c r="A367" s="84"/>
      <c r="B367" s="84"/>
    </row>
    <row r="368" ht="15.75" customHeight="1">
      <c r="A368" s="84"/>
      <c r="B368" s="84"/>
    </row>
    <row r="369" ht="15.75" customHeight="1">
      <c r="A369" s="84"/>
      <c r="B369" s="84"/>
    </row>
    <row r="370" ht="15.75" customHeight="1">
      <c r="A370" s="84"/>
      <c r="B370" s="84"/>
    </row>
    <row r="371" ht="15.75" customHeight="1">
      <c r="A371" s="84"/>
      <c r="B371" s="84"/>
    </row>
    <row r="372" ht="15.75" customHeight="1">
      <c r="A372" s="84"/>
      <c r="B372" s="84"/>
    </row>
    <row r="373" ht="15.75" customHeight="1">
      <c r="A373" s="84"/>
      <c r="B373" s="84"/>
    </row>
    <row r="374" ht="15.75" customHeight="1">
      <c r="A374" s="84"/>
      <c r="B374" s="84"/>
    </row>
    <row r="375" ht="15.75" customHeight="1">
      <c r="A375" s="84"/>
      <c r="B375" s="84"/>
    </row>
    <row r="376" ht="15.75" customHeight="1">
      <c r="A376" s="84"/>
      <c r="B376" s="84"/>
    </row>
    <row r="377" ht="15.75" customHeight="1">
      <c r="A377" s="84"/>
      <c r="B377" s="84"/>
    </row>
    <row r="378" ht="15.75" customHeight="1">
      <c r="A378" s="84"/>
      <c r="B378" s="84"/>
    </row>
    <row r="379" ht="15.75" customHeight="1">
      <c r="A379" s="84"/>
      <c r="B379" s="84"/>
    </row>
    <row r="380" ht="15.75" customHeight="1">
      <c r="A380" s="84"/>
      <c r="B380" s="84"/>
    </row>
    <row r="381" ht="15.75" customHeight="1">
      <c r="A381" s="84"/>
      <c r="B381" s="84"/>
    </row>
    <row r="382" ht="15.75" customHeight="1">
      <c r="A382" s="84"/>
      <c r="B382" s="84"/>
    </row>
    <row r="383" ht="15.75" customHeight="1">
      <c r="A383" s="84"/>
      <c r="B383" s="84"/>
    </row>
    <row r="384" ht="15.75" customHeight="1">
      <c r="A384" s="84"/>
      <c r="B384" s="84"/>
    </row>
    <row r="385" ht="15.75" customHeight="1">
      <c r="A385" s="84"/>
      <c r="B385" s="84"/>
    </row>
    <row r="386" ht="15.75" customHeight="1">
      <c r="A386" s="84"/>
      <c r="B386" s="84"/>
    </row>
    <row r="387" ht="15.75" customHeight="1">
      <c r="A387" s="84"/>
      <c r="B387" s="84"/>
    </row>
    <row r="388" ht="15.75" customHeight="1">
      <c r="A388" s="84"/>
      <c r="B388" s="84"/>
    </row>
    <row r="389" ht="15.75" customHeight="1">
      <c r="A389" s="84"/>
      <c r="B389" s="84"/>
    </row>
    <row r="390" ht="15.75" customHeight="1">
      <c r="A390" s="84"/>
      <c r="B390" s="84"/>
    </row>
    <row r="391" ht="15.75" customHeight="1">
      <c r="A391" s="84"/>
      <c r="B391" s="84"/>
    </row>
    <row r="392" ht="15.75" customHeight="1">
      <c r="A392" s="84"/>
      <c r="B392" s="84"/>
    </row>
    <row r="393" ht="15.75" customHeight="1">
      <c r="A393" s="84"/>
      <c r="B393" s="84"/>
    </row>
    <row r="394" ht="15.75" customHeight="1">
      <c r="A394" s="84"/>
      <c r="B394" s="84"/>
    </row>
    <row r="395" ht="15.75" customHeight="1">
      <c r="A395" s="84"/>
      <c r="B395" s="84"/>
    </row>
    <row r="396" ht="15.75" customHeight="1">
      <c r="A396" s="84"/>
      <c r="B396" s="84"/>
    </row>
    <row r="397" ht="15.75" customHeight="1">
      <c r="A397" s="84"/>
      <c r="B397" s="84"/>
    </row>
    <row r="398" ht="15.75" customHeight="1">
      <c r="A398" s="84"/>
      <c r="B398" s="84"/>
    </row>
    <row r="399" ht="15.75" customHeight="1">
      <c r="A399" s="84"/>
      <c r="B399" s="84"/>
    </row>
    <row r="400" ht="15.75" customHeight="1">
      <c r="A400" s="84"/>
      <c r="B400" s="84"/>
    </row>
    <row r="401" ht="15.75" customHeight="1">
      <c r="A401" s="84"/>
      <c r="B401" s="84"/>
    </row>
    <row r="402" ht="15.75" customHeight="1">
      <c r="A402" s="84"/>
      <c r="B402" s="84"/>
    </row>
    <row r="403" ht="15.75" customHeight="1">
      <c r="A403" s="84"/>
      <c r="B403" s="84"/>
    </row>
    <row r="404" ht="15.75" customHeight="1">
      <c r="A404" s="84"/>
      <c r="B404" s="84"/>
    </row>
    <row r="405" ht="15.75" customHeight="1">
      <c r="A405" s="84"/>
      <c r="B405" s="84"/>
    </row>
    <row r="406" ht="15.75" customHeight="1">
      <c r="A406" s="84"/>
      <c r="B406" s="84"/>
    </row>
    <row r="407" ht="15.75" customHeight="1">
      <c r="A407" s="84"/>
      <c r="B407" s="84"/>
    </row>
    <row r="408" ht="15.75" customHeight="1">
      <c r="A408" s="84"/>
      <c r="B408" s="84"/>
    </row>
    <row r="409" ht="15.75" customHeight="1">
      <c r="A409" s="84"/>
      <c r="B409" s="84"/>
    </row>
    <row r="410" ht="15.75" customHeight="1">
      <c r="A410" s="84"/>
      <c r="B410" s="84"/>
    </row>
    <row r="411" ht="15.75" customHeight="1">
      <c r="A411" s="84"/>
      <c r="B411" s="84"/>
    </row>
    <row r="412" ht="15.75" customHeight="1">
      <c r="A412" s="84"/>
      <c r="B412" s="84"/>
    </row>
    <row r="413" ht="15.75" customHeight="1">
      <c r="A413" s="84"/>
      <c r="B413" s="84"/>
    </row>
    <row r="414" ht="15.75" customHeight="1">
      <c r="A414" s="84"/>
      <c r="B414" s="84"/>
    </row>
    <row r="415" ht="15.75" customHeight="1">
      <c r="A415" s="84"/>
      <c r="B415" s="84"/>
    </row>
    <row r="416" ht="15.75" customHeight="1">
      <c r="A416" s="84"/>
      <c r="B416" s="84"/>
    </row>
    <row r="417" ht="15.75" customHeight="1">
      <c r="A417" s="84"/>
      <c r="B417" s="84"/>
    </row>
    <row r="418" ht="15.75" customHeight="1">
      <c r="A418" s="84"/>
      <c r="B418" s="84"/>
    </row>
    <row r="419" ht="15.75" customHeight="1">
      <c r="A419" s="84"/>
      <c r="B419" s="84"/>
    </row>
    <row r="420" ht="15.75" customHeight="1">
      <c r="A420" s="84"/>
      <c r="B420" s="84"/>
    </row>
    <row r="421" ht="15.75" customHeight="1">
      <c r="A421" s="84"/>
      <c r="B421" s="84"/>
    </row>
    <row r="422" ht="15.75" customHeight="1">
      <c r="A422" s="84"/>
      <c r="B422" s="84"/>
    </row>
    <row r="423" ht="15.75" customHeight="1">
      <c r="A423" s="84"/>
      <c r="B423" s="84"/>
    </row>
    <row r="424" ht="15.75" customHeight="1">
      <c r="A424" s="84"/>
      <c r="B424" s="84"/>
    </row>
    <row r="425" ht="15.75" customHeight="1">
      <c r="A425" s="84"/>
      <c r="B425" s="84"/>
    </row>
    <row r="426" ht="15.75" customHeight="1">
      <c r="A426" s="84"/>
      <c r="B426" s="84"/>
    </row>
    <row r="427" ht="15.75" customHeight="1">
      <c r="A427" s="84"/>
      <c r="B427" s="84"/>
    </row>
    <row r="428" ht="15.75" customHeight="1">
      <c r="A428" s="84"/>
      <c r="B428" s="84"/>
    </row>
    <row r="429" ht="15.75" customHeight="1">
      <c r="A429" s="84"/>
      <c r="B429" s="84"/>
    </row>
    <row r="430" ht="15.75" customHeight="1">
      <c r="A430" s="84"/>
      <c r="B430" s="84"/>
    </row>
    <row r="431" ht="15.75" customHeight="1">
      <c r="A431" s="84"/>
      <c r="B431" s="84"/>
    </row>
    <row r="432" ht="15.75" customHeight="1">
      <c r="A432" s="84"/>
      <c r="B432" s="84"/>
    </row>
    <row r="433" ht="15.75" customHeight="1">
      <c r="A433" s="84"/>
      <c r="B433" s="84"/>
    </row>
    <row r="434" ht="15.75" customHeight="1">
      <c r="A434" s="84"/>
      <c r="B434" s="84"/>
    </row>
    <row r="435" ht="15.75" customHeight="1">
      <c r="A435" s="84"/>
      <c r="B435" s="84"/>
    </row>
    <row r="436" ht="15.75" customHeight="1">
      <c r="A436" s="84"/>
      <c r="B436" s="84"/>
    </row>
    <row r="437" ht="15.75" customHeight="1">
      <c r="A437" s="84"/>
      <c r="B437" s="84"/>
    </row>
    <row r="438" ht="15.75" customHeight="1">
      <c r="A438" s="84"/>
      <c r="B438" s="84"/>
    </row>
    <row r="439" ht="15.75" customHeight="1">
      <c r="A439" s="84"/>
      <c r="B439" s="84"/>
    </row>
    <row r="440" ht="15.75" customHeight="1">
      <c r="A440" s="84"/>
      <c r="B440" s="84"/>
    </row>
    <row r="441" ht="15.75" customHeight="1">
      <c r="A441" s="84"/>
      <c r="B441" s="84"/>
    </row>
    <row r="442" ht="15.75" customHeight="1">
      <c r="A442" s="84"/>
      <c r="B442" s="84"/>
    </row>
    <row r="443" ht="15.75" customHeight="1">
      <c r="A443" s="84"/>
      <c r="B443" s="84"/>
    </row>
    <row r="444" ht="15.75" customHeight="1">
      <c r="A444" s="84"/>
      <c r="B444" s="84"/>
    </row>
    <row r="445" ht="15.75" customHeight="1">
      <c r="A445" s="84"/>
      <c r="B445" s="84"/>
    </row>
    <row r="446" ht="15.75" customHeight="1">
      <c r="A446" s="84"/>
      <c r="B446" s="84"/>
    </row>
    <row r="447" ht="15.75" customHeight="1">
      <c r="A447" s="84"/>
      <c r="B447" s="84"/>
    </row>
    <row r="448" ht="15.75" customHeight="1">
      <c r="A448" s="84"/>
      <c r="B448" s="84"/>
    </row>
    <row r="449" ht="15.75" customHeight="1">
      <c r="A449" s="84"/>
      <c r="B449" s="84"/>
    </row>
    <row r="450" ht="15.75" customHeight="1">
      <c r="A450" s="84"/>
      <c r="B450" s="84"/>
    </row>
    <row r="451" ht="15.75" customHeight="1">
      <c r="A451" s="84"/>
      <c r="B451" s="84"/>
    </row>
    <row r="452" ht="15.75" customHeight="1">
      <c r="A452" s="84"/>
      <c r="B452" s="84"/>
    </row>
    <row r="453" ht="15.75" customHeight="1">
      <c r="A453" s="84"/>
      <c r="B453" s="84"/>
    </row>
    <row r="454" ht="15.75" customHeight="1">
      <c r="A454" s="84"/>
      <c r="B454" s="84"/>
    </row>
    <row r="455" ht="15.75" customHeight="1">
      <c r="A455" s="84"/>
      <c r="B455" s="84"/>
    </row>
    <row r="456" ht="15.75" customHeight="1">
      <c r="A456" s="84"/>
      <c r="B456" s="84"/>
    </row>
    <row r="457" ht="15.75" customHeight="1">
      <c r="A457" s="84"/>
      <c r="B457" s="84"/>
    </row>
    <row r="458" ht="15.75" customHeight="1">
      <c r="A458" s="84"/>
      <c r="B458" s="84"/>
    </row>
    <row r="459" ht="15.75" customHeight="1">
      <c r="A459" s="84"/>
      <c r="B459" s="84"/>
    </row>
    <row r="460" ht="15.75" customHeight="1">
      <c r="A460" s="84"/>
      <c r="B460" s="84"/>
    </row>
    <row r="461" ht="15.75" customHeight="1">
      <c r="A461" s="84"/>
      <c r="B461" s="84"/>
    </row>
    <row r="462" ht="15.75" customHeight="1">
      <c r="A462" s="84"/>
      <c r="B462" s="84"/>
    </row>
    <row r="463" ht="15.75" customHeight="1">
      <c r="A463" s="84"/>
      <c r="B463" s="84"/>
    </row>
    <row r="464" ht="15.75" customHeight="1">
      <c r="A464" s="84"/>
      <c r="B464" s="84"/>
    </row>
    <row r="465" ht="15.75" customHeight="1">
      <c r="A465" s="84"/>
      <c r="B465" s="84"/>
    </row>
    <row r="466" ht="15.75" customHeight="1">
      <c r="A466" s="84"/>
      <c r="B466" s="84"/>
    </row>
    <row r="467" ht="15.75" customHeight="1">
      <c r="A467" s="84"/>
      <c r="B467" s="84"/>
    </row>
    <row r="468" ht="15.75" customHeight="1">
      <c r="A468" s="84"/>
      <c r="B468" s="84"/>
    </row>
    <row r="469" ht="15.75" customHeight="1">
      <c r="A469" s="84"/>
      <c r="B469" s="84"/>
    </row>
    <row r="470" ht="15.75" customHeight="1">
      <c r="A470" s="84"/>
      <c r="B470" s="84"/>
    </row>
    <row r="471" ht="15.75" customHeight="1">
      <c r="A471" s="84"/>
      <c r="B471" s="84"/>
    </row>
    <row r="472" ht="15.75" customHeight="1">
      <c r="A472" s="84"/>
      <c r="B472" s="84"/>
    </row>
    <row r="473" ht="15.75" customHeight="1">
      <c r="A473" s="84"/>
      <c r="B473" s="84"/>
    </row>
    <row r="474" ht="15.75" customHeight="1">
      <c r="A474" s="84"/>
      <c r="B474" s="84"/>
    </row>
    <row r="475" ht="15.75" customHeight="1">
      <c r="A475" s="84"/>
      <c r="B475" s="84"/>
    </row>
    <row r="476" ht="15.75" customHeight="1">
      <c r="A476" s="84"/>
      <c r="B476" s="84"/>
    </row>
    <row r="477" ht="15.75" customHeight="1">
      <c r="A477" s="84"/>
      <c r="B477" s="84"/>
    </row>
    <row r="478" ht="15.75" customHeight="1">
      <c r="A478" s="84"/>
      <c r="B478" s="84"/>
    </row>
    <row r="479" ht="15.75" customHeight="1">
      <c r="A479" s="84"/>
      <c r="B479" s="84"/>
    </row>
    <row r="480" ht="15.75" customHeight="1">
      <c r="A480" s="84"/>
      <c r="B480" s="84"/>
    </row>
    <row r="481" ht="15.75" customHeight="1">
      <c r="A481" s="84"/>
      <c r="B481" s="84"/>
    </row>
    <row r="482" ht="15.75" customHeight="1">
      <c r="A482" s="84"/>
      <c r="B482" s="84"/>
    </row>
    <row r="483" ht="15.75" customHeight="1">
      <c r="A483" s="84"/>
      <c r="B483" s="84"/>
    </row>
    <row r="484" ht="15.75" customHeight="1">
      <c r="A484" s="84"/>
      <c r="B484" s="84"/>
    </row>
    <row r="485" ht="15.75" customHeight="1">
      <c r="A485" s="84"/>
      <c r="B485" s="84"/>
    </row>
    <row r="486" ht="15.75" customHeight="1">
      <c r="A486" s="84"/>
      <c r="B486" s="84"/>
    </row>
    <row r="487" ht="15.75" customHeight="1">
      <c r="A487" s="84"/>
      <c r="B487" s="84"/>
    </row>
    <row r="488" ht="15.75" customHeight="1">
      <c r="A488" s="84"/>
      <c r="B488" s="84"/>
    </row>
    <row r="489" ht="15.75" customHeight="1">
      <c r="A489" s="84"/>
      <c r="B489" s="84"/>
    </row>
    <row r="490" ht="15.75" customHeight="1">
      <c r="A490" s="84"/>
      <c r="B490" s="84"/>
    </row>
    <row r="491" ht="15.75" customHeight="1">
      <c r="A491" s="84"/>
      <c r="B491" s="84"/>
    </row>
    <row r="492" ht="15.75" customHeight="1">
      <c r="A492" s="84"/>
      <c r="B492" s="84"/>
    </row>
    <row r="493" ht="15.75" customHeight="1">
      <c r="A493" s="84"/>
      <c r="B493" s="84"/>
    </row>
    <row r="494" ht="15.75" customHeight="1">
      <c r="A494" s="84"/>
      <c r="B494" s="84"/>
    </row>
    <row r="495" ht="15.75" customHeight="1">
      <c r="A495" s="84"/>
      <c r="B495" s="84"/>
    </row>
    <row r="496" ht="15.75" customHeight="1">
      <c r="A496" s="84"/>
      <c r="B496" s="84"/>
    </row>
    <row r="497" ht="15.75" customHeight="1">
      <c r="A497" s="84"/>
      <c r="B497" s="84"/>
    </row>
    <row r="498" ht="15.75" customHeight="1">
      <c r="A498" s="84"/>
      <c r="B498" s="84"/>
    </row>
    <row r="499" ht="15.75" customHeight="1">
      <c r="A499" s="84"/>
      <c r="B499" s="84"/>
    </row>
    <row r="500" ht="15.75" customHeight="1">
      <c r="A500" s="84"/>
      <c r="B500" s="84"/>
    </row>
    <row r="501" ht="15.75" customHeight="1">
      <c r="A501" s="84"/>
      <c r="B501" s="84"/>
    </row>
    <row r="502" ht="15.75" customHeight="1">
      <c r="A502" s="84"/>
      <c r="B502" s="84"/>
    </row>
    <row r="503" ht="15.75" customHeight="1">
      <c r="A503" s="84"/>
      <c r="B503" s="84"/>
    </row>
    <row r="504" ht="15.75" customHeight="1">
      <c r="A504" s="84"/>
      <c r="B504" s="84"/>
    </row>
    <row r="505" ht="15.75" customHeight="1">
      <c r="A505" s="84"/>
      <c r="B505" s="84"/>
    </row>
    <row r="506" ht="15.75" customHeight="1">
      <c r="A506" s="84"/>
      <c r="B506" s="84"/>
    </row>
    <row r="507" ht="15.75" customHeight="1">
      <c r="A507" s="84"/>
      <c r="B507" s="84"/>
    </row>
    <row r="508" ht="15.75" customHeight="1">
      <c r="A508" s="84"/>
      <c r="B508" s="84"/>
    </row>
    <row r="509" ht="15.75" customHeight="1">
      <c r="A509" s="84"/>
      <c r="B509" s="84"/>
    </row>
    <row r="510" ht="15.75" customHeight="1">
      <c r="A510" s="84"/>
      <c r="B510" s="84"/>
    </row>
    <row r="511" ht="15.75" customHeight="1">
      <c r="A511" s="84"/>
      <c r="B511" s="84"/>
    </row>
    <row r="512" ht="15.75" customHeight="1">
      <c r="A512" s="84"/>
      <c r="B512" s="84"/>
    </row>
    <row r="513" ht="15.75" customHeight="1">
      <c r="A513" s="84"/>
      <c r="B513" s="84"/>
    </row>
    <row r="514" ht="15.75" customHeight="1">
      <c r="A514" s="84"/>
      <c r="B514" s="84"/>
    </row>
    <row r="515" ht="15.75" customHeight="1">
      <c r="A515" s="84"/>
      <c r="B515" s="84"/>
    </row>
    <row r="516" ht="15.75" customHeight="1">
      <c r="A516" s="84"/>
      <c r="B516" s="84"/>
    </row>
    <row r="517" ht="15.75" customHeight="1">
      <c r="A517" s="84"/>
      <c r="B517" s="84"/>
    </row>
    <row r="518" ht="15.75" customHeight="1">
      <c r="A518" s="84"/>
      <c r="B518" s="84"/>
    </row>
    <row r="519" ht="15.75" customHeight="1">
      <c r="A519" s="84"/>
      <c r="B519" s="84"/>
    </row>
    <row r="520" ht="15.75" customHeight="1">
      <c r="A520" s="84"/>
      <c r="B520" s="84"/>
    </row>
    <row r="521" ht="15.75" customHeight="1">
      <c r="A521" s="84"/>
      <c r="B521" s="84"/>
    </row>
    <row r="522" ht="15.75" customHeight="1">
      <c r="A522" s="84"/>
      <c r="B522" s="84"/>
    </row>
    <row r="523" ht="15.75" customHeight="1">
      <c r="A523" s="84"/>
      <c r="B523" s="84"/>
    </row>
    <row r="524" ht="15.75" customHeight="1">
      <c r="A524" s="84"/>
      <c r="B524" s="84"/>
    </row>
    <row r="525" ht="15.75" customHeight="1">
      <c r="A525" s="84"/>
      <c r="B525" s="84"/>
    </row>
    <row r="526" ht="15.75" customHeight="1">
      <c r="A526" s="84"/>
      <c r="B526" s="84"/>
    </row>
    <row r="527" ht="15.75" customHeight="1">
      <c r="A527" s="84"/>
      <c r="B527" s="84"/>
    </row>
    <row r="528" ht="15.75" customHeight="1">
      <c r="A528" s="84"/>
      <c r="B528" s="84"/>
    </row>
    <row r="529" ht="15.75" customHeight="1">
      <c r="A529" s="84"/>
      <c r="B529" s="84"/>
    </row>
    <row r="530" ht="15.75" customHeight="1">
      <c r="A530" s="84"/>
      <c r="B530" s="84"/>
    </row>
    <row r="531" ht="15.75" customHeight="1">
      <c r="A531" s="84"/>
      <c r="B531" s="84"/>
    </row>
    <row r="532" ht="15.75" customHeight="1">
      <c r="A532" s="84"/>
      <c r="B532" s="84"/>
    </row>
    <row r="533" ht="15.75" customHeight="1">
      <c r="A533" s="84"/>
      <c r="B533" s="84"/>
    </row>
    <row r="534" ht="15.75" customHeight="1">
      <c r="A534" s="84"/>
      <c r="B534" s="84"/>
    </row>
    <row r="535" ht="15.75" customHeight="1">
      <c r="A535" s="84"/>
      <c r="B535" s="84"/>
    </row>
    <row r="536" ht="15.75" customHeight="1">
      <c r="A536" s="84"/>
      <c r="B536" s="84"/>
    </row>
    <row r="537" ht="15.75" customHeight="1">
      <c r="A537" s="84"/>
      <c r="B537" s="84"/>
    </row>
    <row r="538" ht="15.75" customHeight="1">
      <c r="A538" s="84"/>
      <c r="B538" s="84"/>
    </row>
    <row r="539" ht="15.75" customHeight="1">
      <c r="A539" s="84"/>
      <c r="B539" s="84"/>
    </row>
    <row r="540" ht="15.75" customHeight="1">
      <c r="A540" s="84"/>
      <c r="B540" s="84"/>
    </row>
    <row r="541" ht="15.75" customHeight="1">
      <c r="A541" s="84"/>
      <c r="B541" s="84"/>
    </row>
    <row r="542" ht="15.75" customHeight="1">
      <c r="A542" s="84"/>
      <c r="B542" s="84"/>
    </row>
    <row r="543" ht="15.75" customHeight="1">
      <c r="A543" s="84"/>
      <c r="B543" s="84"/>
    </row>
    <row r="544" ht="15.75" customHeight="1">
      <c r="A544" s="84"/>
      <c r="B544" s="84"/>
    </row>
    <row r="545" ht="15.75" customHeight="1">
      <c r="A545" s="84"/>
      <c r="B545" s="84"/>
    </row>
    <row r="546" ht="15.75" customHeight="1">
      <c r="A546" s="84"/>
      <c r="B546" s="84"/>
    </row>
    <row r="547" ht="15.75" customHeight="1">
      <c r="A547" s="84"/>
      <c r="B547" s="84"/>
    </row>
    <row r="548" ht="15.75" customHeight="1">
      <c r="A548" s="84"/>
      <c r="B548" s="84"/>
    </row>
    <row r="549" ht="15.75" customHeight="1">
      <c r="A549" s="84"/>
      <c r="B549" s="84"/>
    </row>
    <row r="550" ht="15.75" customHeight="1">
      <c r="A550" s="84"/>
      <c r="B550" s="84"/>
    </row>
    <row r="551" ht="15.75" customHeight="1">
      <c r="A551" s="84"/>
      <c r="B551" s="84"/>
    </row>
    <row r="552" ht="15.75" customHeight="1">
      <c r="A552" s="84"/>
      <c r="B552" s="84"/>
    </row>
    <row r="553" ht="15.75" customHeight="1">
      <c r="A553" s="84"/>
      <c r="B553" s="84"/>
    </row>
    <row r="554" ht="15.75" customHeight="1">
      <c r="A554" s="84"/>
      <c r="B554" s="84"/>
    </row>
    <row r="555" ht="15.75" customHeight="1">
      <c r="A555" s="84"/>
      <c r="B555" s="84"/>
    </row>
    <row r="556" ht="15.75" customHeight="1">
      <c r="A556" s="84"/>
      <c r="B556" s="84"/>
    </row>
    <row r="557" ht="15.75" customHeight="1">
      <c r="A557" s="84"/>
      <c r="B557" s="84"/>
    </row>
    <row r="558" ht="15.75" customHeight="1">
      <c r="A558" s="84"/>
      <c r="B558" s="84"/>
    </row>
    <row r="559" ht="15.75" customHeight="1">
      <c r="A559" s="84"/>
      <c r="B559" s="84"/>
    </row>
    <row r="560" ht="15.75" customHeight="1">
      <c r="A560" s="84"/>
      <c r="B560" s="84"/>
    </row>
    <row r="561" ht="15.75" customHeight="1">
      <c r="A561" s="84"/>
      <c r="B561" s="84"/>
    </row>
    <row r="562" ht="15.75" customHeight="1">
      <c r="A562" s="84"/>
      <c r="B562" s="84"/>
    </row>
    <row r="563" ht="15.75" customHeight="1">
      <c r="A563" s="84"/>
      <c r="B563" s="84"/>
    </row>
    <row r="564" ht="15.75" customHeight="1">
      <c r="A564" s="84"/>
      <c r="B564" s="84"/>
    </row>
    <row r="565" ht="15.75" customHeight="1">
      <c r="A565" s="84"/>
      <c r="B565" s="84"/>
    </row>
    <row r="566" ht="15.75" customHeight="1">
      <c r="A566" s="84"/>
      <c r="B566" s="84"/>
    </row>
    <row r="567" ht="15.75" customHeight="1">
      <c r="A567" s="84"/>
      <c r="B567" s="84"/>
    </row>
    <row r="568" ht="15.75" customHeight="1">
      <c r="A568" s="84"/>
      <c r="B568" s="84"/>
    </row>
    <row r="569" ht="15.75" customHeight="1">
      <c r="A569" s="84"/>
      <c r="B569" s="84"/>
    </row>
    <row r="570" ht="15.75" customHeight="1">
      <c r="A570" s="84"/>
      <c r="B570" s="84"/>
    </row>
    <row r="571" ht="15.75" customHeight="1">
      <c r="A571" s="84"/>
      <c r="B571" s="84"/>
    </row>
    <row r="572" ht="15.75" customHeight="1">
      <c r="A572" s="84"/>
      <c r="B572" s="84"/>
    </row>
    <row r="573" ht="15.75" customHeight="1">
      <c r="A573" s="84"/>
      <c r="B573" s="84"/>
    </row>
    <row r="574" ht="15.75" customHeight="1">
      <c r="A574" s="84"/>
      <c r="B574" s="84"/>
    </row>
    <row r="575" ht="15.75" customHeight="1">
      <c r="A575" s="84"/>
      <c r="B575" s="84"/>
    </row>
    <row r="576" ht="15.75" customHeight="1">
      <c r="A576" s="84"/>
      <c r="B576" s="84"/>
    </row>
    <row r="577" ht="15.75" customHeight="1">
      <c r="A577" s="84"/>
      <c r="B577" s="84"/>
    </row>
    <row r="578" ht="15.75" customHeight="1">
      <c r="A578" s="84"/>
      <c r="B578" s="84"/>
    </row>
    <row r="579" ht="15.75" customHeight="1">
      <c r="A579" s="84"/>
      <c r="B579" s="84"/>
    </row>
    <row r="580" ht="15.75" customHeight="1">
      <c r="A580" s="84"/>
      <c r="B580" s="84"/>
    </row>
    <row r="581" ht="15.75" customHeight="1">
      <c r="A581" s="84"/>
      <c r="B581" s="84"/>
    </row>
    <row r="582" ht="15.75" customHeight="1">
      <c r="A582" s="84"/>
      <c r="B582" s="84"/>
    </row>
    <row r="583" ht="15.75" customHeight="1">
      <c r="A583" s="84"/>
      <c r="B583" s="84"/>
    </row>
    <row r="584" ht="15.75" customHeight="1">
      <c r="A584" s="84"/>
      <c r="B584" s="84"/>
    </row>
    <row r="585" ht="15.75" customHeight="1">
      <c r="A585" s="84"/>
      <c r="B585" s="84"/>
    </row>
    <row r="586" ht="15.75" customHeight="1">
      <c r="A586" s="84"/>
      <c r="B586" s="84"/>
    </row>
    <row r="587" ht="15.75" customHeight="1">
      <c r="A587" s="84"/>
      <c r="B587" s="84"/>
    </row>
    <row r="588" ht="15.75" customHeight="1">
      <c r="A588" s="84"/>
      <c r="B588" s="84"/>
    </row>
    <row r="589" ht="15.75" customHeight="1">
      <c r="A589" s="84"/>
      <c r="B589" s="84"/>
    </row>
    <row r="590" ht="15.75" customHeight="1">
      <c r="A590" s="84"/>
      <c r="B590" s="84"/>
    </row>
    <row r="591" ht="15.75" customHeight="1">
      <c r="A591" s="84"/>
      <c r="B591" s="84"/>
    </row>
    <row r="592" ht="15.75" customHeight="1">
      <c r="A592" s="84"/>
      <c r="B592" s="84"/>
    </row>
    <row r="593" ht="15.75" customHeight="1">
      <c r="A593" s="84"/>
      <c r="B593" s="84"/>
    </row>
    <row r="594" ht="15.75" customHeight="1">
      <c r="A594" s="84"/>
      <c r="B594" s="84"/>
    </row>
    <row r="595" ht="15.75" customHeight="1">
      <c r="A595" s="84"/>
      <c r="B595" s="84"/>
    </row>
    <row r="596" ht="15.75" customHeight="1">
      <c r="A596" s="84"/>
      <c r="B596" s="84"/>
    </row>
    <row r="597" ht="15.75" customHeight="1">
      <c r="A597" s="84"/>
      <c r="B597" s="84"/>
    </row>
    <row r="598" ht="15.75" customHeight="1">
      <c r="A598" s="84"/>
      <c r="B598" s="84"/>
    </row>
    <row r="599" ht="15.75" customHeight="1">
      <c r="A599" s="84"/>
      <c r="B599" s="84"/>
    </row>
    <row r="600" ht="15.75" customHeight="1">
      <c r="A600" s="84"/>
      <c r="B600" s="84"/>
    </row>
    <row r="601" ht="15.75" customHeight="1">
      <c r="A601" s="84"/>
      <c r="B601" s="84"/>
    </row>
    <row r="602" ht="15.75" customHeight="1">
      <c r="A602" s="84"/>
      <c r="B602" s="84"/>
    </row>
    <row r="603" ht="15.75" customHeight="1">
      <c r="A603" s="84"/>
      <c r="B603" s="84"/>
    </row>
    <row r="604" ht="15.75" customHeight="1">
      <c r="A604" s="84"/>
      <c r="B604" s="84"/>
    </row>
    <row r="605" ht="15.75" customHeight="1">
      <c r="A605" s="84"/>
      <c r="B605" s="84"/>
    </row>
    <row r="606" ht="15.75" customHeight="1">
      <c r="A606" s="84"/>
      <c r="B606" s="84"/>
    </row>
    <row r="607" ht="15.75" customHeight="1">
      <c r="A607" s="84"/>
      <c r="B607" s="84"/>
    </row>
    <row r="608" ht="15.75" customHeight="1">
      <c r="A608" s="84"/>
      <c r="B608" s="84"/>
    </row>
    <row r="609" ht="15.75" customHeight="1">
      <c r="A609" s="84"/>
      <c r="B609" s="84"/>
    </row>
    <row r="610" ht="15.75" customHeight="1">
      <c r="A610" s="84"/>
      <c r="B610" s="84"/>
    </row>
    <row r="611" ht="15.75" customHeight="1">
      <c r="A611" s="84"/>
      <c r="B611" s="84"/>
    </row>
    <row r="612" ht="15.75" customHeight="1">
      <c r="A612" s="84"/>
      <c r="B612" s="84"/>
    </row>
    <row r="613" ht="15.75" customHeight="1">
      <c r="A613" s="84"/>
      <c r="B613" s="84"/>
    </row>
    <row r="614" ht="15.75" customHeight="1">
      <c r="A614" s="84"/>
      <c r="B614" s="84"/>
    </row>
    <row r="615" ht="15.75" customHeight="1">
      <c r="A615" s="84"/>
      <c r="B615" s="84"/>
    </row>
    <row r="616" ht="15.75" customHeight="1">
      <c r="A616" s="84"/>
      <c r="B616" s="84"/>
    </row>
    <row r="617" ht="15.75" customHeight="1">
      <c r="A617" s="84"/>
      <c r="B617" s="84"/>
    </row>
    <row r="618" ht="15.75" customHeight="1">
      <c r="A618" s="84"/>
      <c r="B618" s="84"/>
    </row>
    <row r="619" ht="15.75" customHeight="1">
      <c r="A619" s="84"/>
      <c r="B619" s="84"/>
    </row>
    <row r="620" ht="15.75" customHeight="1">
      <c r="A620" s="84"/>
      <c r="B620" s="84"/>
    </row>
    <row r="621" ht="15.75" customHeight="1">
      <c r="A621" s="84"/>
      <c r="B621" s="84"/>
    </row>
    <row r="622" ht="15.75" customHeight="1">
      <c r="A622" s="84"/>
      <c r="B622" s="84"/>
    </row>
    <row r="623" ht="15.75" customHeight="1">
      <c r="A623" s="84"/>
      <c r="B623" s="84"/>
    </row>
    <row r="624" ht="15.75" customHeight="1">
      <c r="A624" s="84"/>
      <c r="B624" s="84"/>
    </row>
    <row r="625" ht="15.75" customHeight="1">
      <c r="A625" s="84"/>
      <c r="B625" s="84"/>
    </row>
    <row r="626" ht="15.75" customHeight="1">
      <c r="A626" s="84"/>
      <c r="B626" s="84"/>
    </row>
    <row r="627" ht="15.75" customHeight="1">
      <c r="A627" s="84"/>
      <c r="B627" s="84"/>
    </row>
    <row r="628" ht="15.75" customHeight="1">
      <c r="A628" s="84"/>
      <c r="B628" s="84"/>
    </row>
    <row r="629" ht="15.75" customHeight="1">
      <c r="A629" s="84"/>
      <c r="B629" s="84"/>
    </row>
    <row r="630" ht="15.75" customHeight="1">
      <c r="A630" s="84"/>
      <c r="B630" s="84"/>
    </row>
    <row r="631" ht="15.75" customHeight="1">
      <c r="A631" s="84"/>
      <c r="B631" s="84"/>
    </row>
    <row r="632" ht="15.75" customHeight="1">
      <c r="A632" s="84"/>
      <c r="B632" s="84"/>
    </row>
    <row r="633" ht="15.75" customHeight="1">
      <c r="A633" s="84"/>
      <c r="B633" s="84"/>
    </row>
    <row r="634" ht="15.75" customHeight="1">
      <c r="A634" s="84"/>
      <c r="B634" s="84"/>
    </row>
    <row r="635" ht="15.75" customHeight="1">
      <c r="A635" s="84"/>
      <c r="B635" s="84"/>
    </row>
    <row r="636" ht="15.75" customHeight="1">
      <c r="A636" s="84"/>
      <c r="B636" s="84"/>
    </row>
    <row r="637" ht="15.75" customHeight="1">
      <c r="A637" s="84"/>
      <c r="B637" s="84"/>
    </row>
    <row r="638" ht="15.75" customHeight="1">
      <c r="A638" s="84"/>
      <c r="B638" s="84"/>
    </row>
    <row r="639" ht="15.75" customHeight="1">
      <c r="A639" s="84"/>
      <c r="B639" s="84"/>
    </row>
    <row r="640" ht="15.75" customHeight="1">
      <c r="A640" s="84"/>
      <c r="B640" s="84"/>
    </row>
    <row r="641" ht="15.75" customHeight="1">
      <c r="A641" s="84"/>
      <c r="B641" s="84"/>
    </row>
    <row r="642" ht="15.75" customHeight="1">
      <c r="A642" s="84"/>
      <c r="B642" s="84"/>
    </row>
    <row r="643" ht="15.75" customHeight="1">
      <c r="A643" s="84"/>
      <c r="B643" s="84"/>
    </row>
    <row r="644" ht="15.75" customHeight="1">
      <c r="A644" s="84"/>
      <c r="B644" s="84"/>
    </row>
    <row r="645" ht="15.75" customHeight="1">
      <c r="A645" s="84"/>
      <c r="B645" s="84"/>
    </row>
    <row r="646" ht="15.75" customHeight="1">
      <c r="A646" s="84"/>
      <c r="B646" s="84"/>
    </row>
    <row r="647" ht="15.75" customHeight="1">
      <c r="A647" s="84"/>
      <c r="B647" s="84"/>
    </row>
    <row r="648" ht="15.75" customHeight="1">
      <c r="A648" s="84"/>
      <c r="B648" s="84"/>
    </row>
    <row r="649" ht="15.75" customHeight="1">
      <c r="A649" s="84"/>
      <c r="B649" s="84"/>
    </row>
    <row r="650" ht="15.75" customHeight="1">
      <c r="A650" s="84"/>
      <c r="B650" s="84"/>
    </row>
    <row r="651" ht="15.75" customHeight="1">
      <c r="A651" s="84"/>
      <c r="B651" s="84"/>
    </row>
    <row r="652" ht="15.75" customHeight="1">
      <c r="A652" s="84"/>
      <c r="B652" s="84"/>
    </row>
    <row r="653" ht="15.75" customHeight="1">
      <c r="A653" s="84"/>
      <c r="B653" s="84"/>
    </row>
    <row r="654" ht="15.75" customHeight="1">
      <c r="A654" s="84"/>
      <c r="B654" s="84"/>
    </row>
    <row r="655" ht="15.75" customHeight="1">
      <c r="A655" s="84"/>
      <c r="B655" s="84"/>
    </row>
    <row r="656" ht="15.75" customHeight="1">
      <c r="A656" s="84"/>
      <c r="B656" s="84"/>
    </row>
    <row r="657" ht="15.75" customHeight="1">
      <c r="A657" s="84"/>
      <c r="B657" s="84"/>
    </row>
    <row r="658" ht="15.75" customHeight="1">
      <c r="A658" s="84"/>
      <c r="B658" s="84"/>
    </row>
    <row r="659" ht="15.75" customHeight="1">
      <c r="A659" s="84"/>
      <c r="B659" s="84"/>
    </row>
    <row r="660" ht="15.75" customHeight="1">
      <c r="A660" s="84"/>
      <c r="B660" s="84"/>
    </row>
    <row r="661" ht="15.75" customHeight="1">
      <c r="A661" s="84"/>
      <c r="B661" s="84"/>
    </row>
    <row r="662" ht="15.75" customHeight="1">
      <c r="A662" s="84"/>
      <c r="B662" s="84"/>
    </row>
    <row r="663" ht="15.75" customHeight="1">
      <c r="A663" s="84"/>
      <c r="B663" s="84"/>
    </row>
    <row r="664" ht="15.75" customHeight="1">
      <c r="A664" s="84"/>
      <c r="B664" s="84"/>
    </row>
    <row r="665" ht="15.75" customHeight="1">
      <c r="A665" s="84"/>
      <c r="B665" s="84"/>
    </row>
    <row r="666" ht="15.75" customHeight="1">
      <c r="A666" s="84"/>
      <c r="B666" s="84"/>
    </row>
    <row r="667" ht="15.75" customHeight="1">
      <c r="A667" s="84"/>
      <c r="B667" s="84"/>
    </row>
    <row r="668" ht="15.75" customHeight="1">
      <c r="A668" s="84"/>
      <c r="B668" s="84"/>
    </row>
    <row r="669" ht="15.75" customHeight="1">
      <c r="A669" s="84"/>
      <c r="B669" s="84"/>
    </row>
    <row r="670" ht="15.75" customHeight="1">
      <c r="A670" s="84"/>
      <c r="B670" s="84"/>
    </row>
    <row r="671" ht="15.75" customHeight="1">
      <c r="A671" s="84"/>
      <c r="B671" s="84"/>
    </row>
    <row r="672" ht="15.75" customHeight="1">
      <c r="A672" s="84"/>
      <c r="B672" s="84"/>
    </row>
    <row r="673" ht="15.75" customHeight="1">
      <c r="A673" s="84"/>
      <c r="B673" s="84"/>
    </row>
    <row r="674" ht="15.75" customHeight="1">
      <c r="A674" s="84"/>
      <c r="B674" s="84"/>
    </row>
    <row r="675" ht="15.75" customHeight="1">
      <c r="A675" s="84"/>
      <c r="B675" s="84"/>
    </row>
    <row r="676" ht="15.75" customHeight="1">
      <c r="A676" s="84"/>
      <c r="B676" s="84"/>
    </row>
    <row r="677" ht="15.75" customHeight="1">
      <c r="A677" s="84"/>
      <c r="B677" s="84"/>
    </row>
    <row r="678" ht="15.75" customHeight="1">
      <c r="A678" s="84"/>
      <c r="B678" s="84"/>
    </row>
    <row r="679" ht="15.75" customHeight="1">
      <c r="A679" s="84"/>
      <c r="B679" s="84"/>
    </row>
    <row r="680" ht="15.75" customHeight="1">
      <c r="A680" s="84"/>
      <c r="B680" s="84"/>
    </row>
    <row r="681" ht="15.75" customHeight="1">
      <c r="A681" s="84"/>
      <c r="B681" s="84"/>
    </row>
    <row r="682" ht="15.75" customHeight="1">
      <c r="A682" s="84"/>
      <c r="B682" s="84"/>
    </row>
    <row r="683" ht="15.75" customHeight="1">
      <c r="A683" s="84"/>
      <c r="B683" s="84"/>
    </row>
    <row r="684" ht="15.75" customHeight="1">
      <c r="A684" s="84"/>
      <c r="B684" s="84"/>
    </row>
    <row r="685" ht="15.75" customHeight="1">
      <c r="A685" s="84"/>
      <c r="B685" s="84"/>
    </row>
    <row r="686" ht="15.75" customHeight="1">
      <c r="A686" s="84"/>
      <c r="B686" s="84"/>
    </row>
    <row r="687" ht="15.75" customHeight="1">
      <c r="A687" s="84"/>
      <c r="B687" s="84"/>
    </row>
    <row r="688" ht="15.75" customHeight="1">
      <c r="A688" s="84"/>
      <c r="B688" s="84"/>
    </row>
    <row r="689" ht="15.75" customHeight="1">
      <c r="A689" s="84"/>
      <c r="B689" s="84"/>
    </row>
    <row r="690" ht="15.75" customHeight="1">
      <c r="A690" s="84"/>
      <c r="B690" s="84"/>
    </row>
    <row r="691" ht="15.75" customHeight="1">
      <c r="A691" s="84"/>
      <c r="B691" s="84"/>
    </row>
    <row r="692" ht="15.75" customHeight="1">
      <c r="A692" s="84"/>
      <c r="B692" s="84"/>
    </row>
    <row r="693" ht="15.75" customHeight="1">
      <c r="A693" s="84"/>
      <c r="B693" s="84"/>
    </row>
    <row r="694" ht="15.75" customHeight="1">
      <c r="A694" s="84"/>
      <c r="B694" s="84"/>
    </row>
    <row r="695" ht="15.75" customHeight="1">
      <c r="A695" s="84"/>
      <c r="B695" s="84"/>
    </row>
    <row r="696" ht="15.75" customHeight="1">
      <c r="A696" s="84"/>
      <c r="B696" s="84"/>
    </row>
    <row r="697" ht="15.75" customHeight="1">
      <c r="A697" s="84"/>
      <c r="B697" s="84"/>
    </row>
    <row r="698" ht="15.75" customHeight="1">
      <c r="A698" s="84"/>
      <c r="B698" s="84"/>
    </row>
    <row r="699" ht="15.75" customHeight="1">
      <c r="A699" s="84"/>
      <c r="B699" s="84"/>
    </row>
    <row r="700" ht="15.75" customHeight="1">
      <c r="A700" s="84"/>
      <c r="B700" s="84"/>
    </row>
    <row r="701" ht="15.75" customHeight="1">
      <c r="A701" s="84"/>
      <c r="B701" s="84"/>
    </row>
    <row r="702" ht="15.75" customHeight="1">
      <c r="A702" s="84"/>
      <c r="B702" s="84"/>
    </row>
    <row r="703" ht="15.75" customHeight="1">
      <c r="A703" s="84"/>
      <c r="B703" s="84"/>
    </row>
    <row r="704" ht="15.75" customHeight="1">
      <c r="A704" s="84"/>
      <c r="B704" s="84"/>
    </row>
    <row r="705" ht="15.75" customHeight="1">
      <c r="A705" s="84"/>
      <c r="B705" s="84"/>
    </row>
    <row r="706" ht="15.75" customHeight="1">
      <c r="A706" s="84"/>
      <c r="B706" s="84"/>
    </row>
    <row r="707" ht="15.75" customHeight="1">
      <c r="A707" s="84"/>
      <c r="B707" s="84"/>
    </row>
    <row r="708" ht="15.75" customHeight="1">
      <c r="A708" s="84"/>
      <c r="B708" s="84"/>
    </row>
    <row r="709" ht="15.75" customHeight="1">
      <c r="A709" s="84"/>
      <c r="B709" s="84"/>
    </row>
    <row r="710" ht="15.75" customHeight="1">
      <c r="A710" s="84"/>
      <c r="B710" s="84"/>
    </row>
    <row r="711" ht="15.75" customHeight="1">
      <c r="A711" s="84"/>
      <c r="B711" s="84"/>
    </row>
    <row r="712" ht="15.75" customHeight="1">
      <c r="A712" s="84"/>
      <c r="B712" s="84"/>
    </row>
    <row r="713" ht="15.75" customHeight="1">
      <c r="A713" s="84"/>
      <c r="B713" s="84"/>
    </row>
    <row r="714" ht="15.75" customHeight="1">
      <c r="A714" s="84"/>
      <c r="B714" s="84"/>
    </row>
    <row r="715" ht="15.75" customHeight="1">
      <c r="A715" s="84"/>
      <c r="B715" s="84"/>
    </row>
    <row r="716" ht="15.75" customHeight="1">
      <c r="A716" s="84"/>
      <c r="B716" s="84"/>
    </row>
    <row r="717" ht="15.75" customHeight="1">
      <c r="A717" s="84"/>
      <c r="B717" s="84"/>
    </row>
    <row r="718" ht="15.75" customHeight="1">
      <c r="A718" s="84"/>
      <c r="B718" s="84"/>
    </row>
    <row r="719" ht="15.75" customHeight="1">
      <c r="A719" s="84"/>
      <c r="B719" s="84"/>
    </row>
    <row r="720" ht="15.75" customHeight="1">
      <c r="A720" s="84"/>
      <c r="B720" s="84"/>
    </row>
    <row r="721" ht="15.75" customHeight="1">
      <c r="A721" s="84"/>
      <c r="B721" s="84"/>
    </row>
    <row r="722" ht="15.75" customHeight="1">
      <c r="A722" s="84"/>
      <c r="B722" s="84"/>
    </row>
    <row r="723" ht="15.75" customHeight="1">
      <c r="A723" s="84"/>
      <c r="B723" s="84"/>
    </row>
    <row r="724" ht="15.75" customHeight="1">
      <c r="A724" s="84"/>
      <c r="B724" s="84"/>
    </row>
    <row r="725" ht="15.75" customHeight="1">
      <c r="A725" s="84"/>
      <c r="B725" s="84"/>
    </row>
    <row r="726" ht="15.75" customHeight="1">
      <c r="A726" s="84"/>
      <c r="B726" s="84"/>
    </row>
    <row r="727" ht="15.75" customHeight="1">
      <c r="A727" s="84"/>
      <c r="B727" s="84"/>
    </row>
    <row r="728" ht="15.75" customHeight="1">
      <c r="A728" s="84"/>
      <c r="B728" s="84"/>
    </row>
    <row r="729" ht="15.75" customHeight="1">
      <c r="A729" s="84"/>
      <c r="B729" s="84"/>
    </row>
    <row r="730" ht="15.75" customHeight="1">
      <c r="A730" s="84"/>
      <c r="B730" s="84"/>
    </row>
    <row r="731" ht="15.75" customHeight="1">
      <c r="A731" s="84"/>
      <c r="B731" s="84"/>
    </row>
    <row r="732" ht="15.75" customHeight="1">
      <c r="A732" s="84"/>
      <c r="B732" s="84"/>
    </row>
    <row r="733" ht="15.75" customHeight="1">
      <c r="A733" s="84"/>
      <c r="B733" s="84"/>
    </row>
    <row r="734" ht="15.75" customHeight="1">
      <c r="A734" s="84"/>
      <c r="B734" s="84"/>
    </row>
    <row r="735" ht="15.75" customHeight="1">
      <c r="A735" s="84"/>
      <c r="B735" s="84"/>
    </row>
    <row r="736" ht="15.75" customHeight="1">
      <c r="A736" s="84"/>
      <c r="B736" s="84"/>
    </row>
    <row r="737" ht="15.75" customHeight="1">
      <c r="A737" s="84"/>
      <c r="B737" s="84"/>
    </row>
    <row r="738" ht="15.75" customHeight="1">
      <c r="A738" s="84"/>
      <c r="B738" s="84"/>
    </row>
    <row r="739" ht="15.75" customHeight="1">
      <c r="A739" s="84"/>
      <c r="B739" s="84"/>
    </row>
    <row r="740" ht="15.75" customHeight="1">
      <c r="A740" s="84"/>
      <c r="B740" s="84"/>
    </row>
    <row r="741" ht="15.75" customHeight="1">
      <c r="A741" s="84"/>
      <c r="B741" s="84"/>
    </row>
    <row r="742" ht="15.75" customHeight="1">
      <c r="A742" s="84"/>
      <c r="B742" s="84"/>
    </row>
    <row r="743" ht="15.75" customHeight="1">
      <c r="A743" s="84"/>
      <c r="B743" s="84"/>
    </row>
    <row r="744" ht="15.75" customHeight="1">
      <c r="A744" s="84"/>
      <c r="B744" s="84"/>
    </row>
    <row r="745" ht="15.75" customHeight="1">
      <c r="A745" s="84"/>
      <c r="B745" s="84"/>
    </row>
    <row r="746" ht="15.75" customHeight="1">
      <c r="A746" s="84"/>
      <c r="B746" s="84"/>
    </row>
    <row r="747" ht="15.75" customHeight="1">
      <c r="A747" s="84"/>
      <c r="B747" s="84"/>
    </row>
    <row r="748" ht="15.75" customHeight="1">
      <c r="A748" s="84"/>
      <c r="B748" s="84"/>
    </row>
    <row r="749" ht="15.75" customHeight="1">
      <c r="A749" s="84"/>
      <c r="B749" s="84"/>
    </row>
    <row r="750" ht="15.75" customHeight="1">
      <c r="A750" s="84"/>
      <c r="B750" s="84"/>
    </row>
    <row r="751" ht="15.75" customHeight="1">
      <c r="A751" s="84"/>
      <c r="B751" s="84"/>
    </row>
    <row r="752" ht="15.75" customHeight="1">
      <c r="A752" s="84"/>
      <c r="B752" s="84"/>
    </row>
    <row r="753" ht="15.75" customHeight="1">
      <c r="A753" s="84"/>
      <c r="B753" s="84"/>
    </row>
    <row r="754" ht="15.75" customHeight="1">
      <c r="A754" s="84"/>
      <c r="B754" s="84"/>
    </row>
    <row r="755" ht="15.75" customHeight="1">
      <c r="A755" s="84"/>
      <c r="B755" s="84"/>
    </row>
    <row r="756" ht="15.75" customHeight="1">
      <c r="A756" s="84"/>
      <c r="B756" s="84"/>
    </row>
    <row r="757" ht="15.75" customHeight="1">
      <c r="A757" s="84"/>
      <c r="B757" s="84"/>
    </row>
    <row r="758" ht="15.75" customHeight="1">
      <c r="A758" s="84"/>
      <c r="B758" s="84"/>
    </row>
    <row r="759" ht="15.75" customHeight="1">
      <c r="A759" s="84"/>
      <c r="B759" s="84"/>
    </row>
    <row r="760" ht="15.75" customHeight="1">
      <c r="A760" s="84"/>
      <c r="B760" s="84"/>
    </row>
    <row r="761" ht="15.75" customHeight="1">
      <c r="A761" s="84"/>
      <c r="B761" s="84"/>
    </row>
    <row r="762" ht="15.75" customHeight="1">
      <c r="A762" s="84"/>
      <c r="B762" s="84"/>
    </row>
    <row r="763" ht="15.75" customHeight="1">
      <c r="A763" s="84"/>
      <c r="B763" s="84"/>
    </row>
    <row r="764" ht="15.75" customHeight="1">
      <c r="A764" s="84"/>
      <c r="B764" s="84"/>
    </row>
    <row r="765" ht="15.75" customHeight="1">
      <c r="A765" s="84"/>
      <c r="B765" s="84"/>
    </row>
    <row r="766" ht="15.75" customHeight="1">
      <c r="A766" s="84"/>
      <c r="B766" s="84"/>
    </row>
    <row r="767" ht="15.75" customHeight="1">
      <c r="A767" s="84"/>
      <c r="B767" s="84"/>
    </row>
    <row r="768" ht="15.75" customHeight="1">
      <c r="A768" s="84"/>
      <c r="B768" s="84"/>
    </row>
    <row r="769" ht="15.75" customHeight="1">
      <c r="A769" s="84"/>
      <c r="B769" s="84"/>
    </row>
    <row r="770" ht="15.75" customHeight="1">
      <c r="A770" s="84"/>
      <c r="B770" s="84"/>
    </row>
    <row r="771" ht="15.75" customHeight="1">
      <c r="A771" s="84"/>
      <c r="B771" s="84"/>
    </row>
    <row r="772" ht="15.75" customHeight="1">
      <c r="A772" s="84"/>
      <c r="B772" s="84"/>
    </row>
    <row r="773" ht="15.75" customHeight="1">
      <c r="A773" s="84"/>
      <c r="B773" s="84"/>
    </row>
    <row r="774" ht="15.75" customHeight="1">
      <c r="A774" s="84"/>
      <c r="B774" s="84"/>
    </row>
    <row r="775" ht="15.75" customHeight="1">
      <c r="A775" s="84"/>
      <c r="B775" s="84"/>
    </row>
    <row r="776" ht="15.75" customHeight="1">
      <c r="A776" s="84"/>
      <c r="B776" s="84"/>
    </row>
    <row r="777" ht="15.75" customHeight="1">
      <c r="A777" s="84"/>
      <c r="B777" s="84"/>
    </row>
    <row r="778" ht="15.75" customHeight="1">
      <c r="A778" s="84"/>
      <c r="B778" s="84"/>
    </row>
    <row r="779" ht="15.75" customHeight="1">
      <c r="A779" s="84"/>
      <c r="B779" s="84"/>
    </row>
    <row r="780" ht="15.75" customHeight="1">
      <c r="A780" s="84"/>
      <c r="B780" s="84"/>
    </row>
    <row r="781" ht="15.75" customHeight="1">
      <c r="A781" s="84"/>
      <c r="B781" s="84"/>
    </row>
    <row r="782" ht="15.75" customHeight="1">
      <c r="A782" s="84"/>
      <c r="B782" s="84"/>
    </row>
    <row r="783" ht="15.75" customHeight="1">
      <c r="A783" s="84"/>
      <c r="B783" s="84"/>
    </row>
    <row r="784" ht="15.75" customHeight="1">
      <c r="A784" s="84"/>
      <c r="B784" s="84"/>
    </row>
    <row r="785" ht="15.75" customHeight="1">
      <c r="A785" s="84"/>
      <c r="B785" s="84"/>
    </row>
    <row r="786" ht="15.75" customHeight="1">
      <c r="A786" s="84"/>
      <c r="B786" s="84"/>
    </row>
    <row r="787" ht="15.75" customHeight="1">
      <c r="A787" s="84"/>
      <c r="B787" s="84"/>
    </row>
    <row r="788" ht="15.75" customHeight="1">
      <c r="A788" s="84"/>
      <c r="B788" s="84"/>
    </row>
    <row r="789" ht="15.75" customHeight="1">
      <c r="A789" s="84"/>
      <c r="B789" s="84"/>
    </row>
    <row r="790" ht="15.75" customHeight="1">
      <c r="A790" s="84"/>
      <c r="B790" s="84"/>
    </row>
    <row r="791" ht="15.75" customHeight="1">
      <c r="A791" s="84"/>
      <c r="B791" s="84"/>
    </row>
    <row r="792" ht="15.75" customHeight="1">
      <c r="A792" s="84"/>
      <c r="B792" s="84"/>
    </row>
    <row r="793" ht="15.75" customHeight="1">
      <c r="A793" s="84"/>
      <c r="B793" s="84"/>
    </row>
    <row r="794" ht="15.75" customHeight="1">
      <c r="A794" s="84"/>
      <c r="B794" s="84"/>
    </row>
    <row r="795" ht="15.75" customHeight="1">
      <c r="A795" s="84"/>
      <c r="B795" s="84"/>
    </row>
    <row r="796" ht="15.75" customHeight="1">
      <c r="A796" s="84"/>
      <c r="B796" s="84"/>
    </row>
    <row r="797" ht="15.75" customHeight="1">
      <c r="A797" s="84"/>
      <c r="B797" s="84"/>
    </row>
    <row r="798" ht="15.75" customHeight="1">
      <c r="A798" s="84"/>
      <c r="B798" s="84"/>
    </row>
    <row r="799" ht="15.75" customHeight="1">
      <c r="A799" s="84"/>
      <c r="B799" s="84"/>
    </row>
    <row r="800" ht="15.75" customHeight="1">
      <c r="A800" s="84"/>
      <c r="B800" s="84"/>
    </row>
    <row r="801" ht="15.75" customHeight="1">
      <c r="A801" s="84"/>
      <c r="B801" s="84"/>
    </row>
    <row r="802" ht="15.75" customHeight="1">
      <c r="A802" s="84"/>
      <c r="B802" s="84"/>
    </row>
    <row r="803" ht="15.75" customHeight="1">
      <c r="A803" s="84"/>
      <c r="B803" s="84"/>
    </row>
    <row r="804" ht="15.75" customHeight="1">
      <c r="A804" s="84"/>
      <c r="B804" s="84"/>
    </row>
    <row r="805" ht="15.75" customHeight="1">
      <c r="A805" s="84"/>
      <c r="B805" s="84"/>
    </row>
    <row r="806" ht="15.75" customHeight="1">
      <c r="A806" s="84"/>
      <c r="B806" s="84"/>
    </row>
    <row r="807" ht="15.75" customHeight="1">
      <c r="A807" s="84"/>
      <c r="B807" s="84"/>
    </row>
    <row r="808" ht="15.75" customHeight="1">
      <c r="A808" s="84"/>
      <c r="B808" s="84"/>
    </row>
    <row r="809" ht="15.75" customHeight="1">
      <c r="A809" s="84"/>
      <c r="B809" s="84"/>
    </row>
    <row r="810" ht="15.75" customHeight="1">
      <c r="A810" s="84"/>
      <c r="B810" s="84"/>
    </row>
    <row r="811" ht="15.75" customHeight="1">
      <c r="A811" s="84"/>
      <c r="B811" s="84"/>
    </row>
    <row r="812" ht="15.75" customHeight="1">
      <c r="A812" s="84"/>
      <c r="B812" s="84"/>
    </row>
    <row r="813" ht="15.75" customHeight="1">
      <c r="A813" s="84"/>
      <c r="B813" s="84"/>
    </row>
    <row r="814" ht="15.75" customHeight="1">
      <c r="A814" s="84"/>
      <c r="B814" s="84"/>
    </row>
    <row r="815" ht="15.75" customHeight="1">
      <c r="A815" s="84"/>
      <c r="B815" s="84"/>
    </row>
    <row r="816" ht="15.75" customHeight="1">
      <c r="A816" s="84"/>
      <c r="B816" s="84"/>
    </row>
    <row r="817" ht="15.75" customHeight="1">
      <c r="A817" s="84"/>
      <c r="B817" s="84"/>
    </row>
    <row r="818" ht="15.75" customHeight="1">
      <c r="A818" s="84"/>
      <c r="B818" s="84"/>
    </row>
    <row r="819" ht="15.75" customHeight="1">
      <c r="A819" s="84"/>
      <c r="B819" s="84"/>
    </row>
    <row r="820" ht="15.75" customHeight="1">
      <c r="A820" s="84"/>
      <c r="B820" s="84"/>
    </row>
    <row r="821" ht="15.75" customHeight="1">
      <c r="A821" s="84"/>
      <c r="B821" s="84"/>
    </row>
    <row r="822" ht="15.75" customHeight="1">
      <c r="A822" s="84"/>
      <c r="B822" s="84"/>
    </row>
    <row r="823" ht="15.75" customHeight="1">
      <c r="A823" s="84"/>
      <c r="B823" s="84"/>
    </row>
    <row r="824" ht="15.75" customHeight="1">
      <c r="A824" s="84"/>
      <c r="B824" s="84"/>
    </row>
    <row r="825" ht="15.75" customHeight="1">
      <c r="A825" s="84"/>
      <c r="B825" s="84"/>
    </row>
    <row r="826" ht="15.75" customHeight="1">
      <c r="A826" s="84"/>
      <c r="B826" s="84"/>
    </row>
    <row r="827" ht="15.75" customHeight="1">
      <c r="A827" s="84"/>
      <c r="B827" s="84"/>
    </row>
    <row r="828" ht="15.75" customHeight="1">
      <c r="A828" s="84"/>
      <c r="B828" s="84"/>
    </row>
    <row r="829" ht="15.75" customHeight="1">
      <c r="A829" s="84"/>
      <c r="B829" s="84"/>
    </row>
    <row r="830" ht="15.75" customHeight="1">
      <c r="A830" s="84"/>
      <c r="B830" s="84"/>
    </row>
    <row r="831" ht="15.75" customHeight="1">
      <c r="A831" s="84"/>
      <c r="B831" s="84"/>
    </row>
    <row r="832" ht="15.75" customHeight="1">
      <c r="A832" s="84"/>
      <c r="B832" s="84"/>
    </row>
    <row r="833" ht="15.75" customHeight="1">
      <c r="A833" s="84"/>
      <c r="B833" s="84"/>
    </row>
    <row r="834" ht="15.75" customHeight="1">
      <c r="A834" s="84"/>
      <c r="B834" s="84"/>
    </row>
    <row r="835" ht="15.75" customHeight="1">
      <c r="A835" s="84"/>
      <c r="B835" s="84"/>
    </row>
    <row r="836" ht="15.75" customHeight="1">
      <c r="A836" s="84"/>
      <c r="B836" s="84"/>
    </row>
    <row r="837" ht="15.75" customHeight="1">
      <c r="A837" s="84"/>
      <c r="B837" s="84"/>
    </row>
    <row r="838" ht="15.75" customHeight="1">
      <c r="A838" s="84"/>
      <c r="B838" s="84"/>
    </row>
    <row r="839" ht="15.75" customHeight="1">
      <c r="A839" s="84"/>
      <c r="B839" s="84"/>
    </row>
    <row r="840" ht="15.75" customHeight="1">
      <c r="A840" s="84"/>
      <c r="B840" s="84"/>
    </row>
    <row r="841" ht="15.75" customHeight="1">
      <c r="A841" s="84"/>
      <c r="B841" s="84"/>
    </row>
    <row r="842" ht="15.75" customHeight="1">
      <c r="A842" s="84"/>
      <c r="B842" s="84"/>
    </row>
    <row r="843" ht="15.75" customHeight="1">
      <c r="A843" s="84"/>
      <c r="B843" s="84"/>
    </row>
    <row r="844" ht="15.75" customHeight="1">
      <c r="A844" s="84"/>
      <c r="B844" s="84"/>
    </row>
    <row r="845" ht="15.75" customHeight="1">
      <c r="A845" s="84"/>
      <c r="B845" s="84"/>
    </row>
    <row r="846" ht="15.75" customHeight="1">
      <c r="A846" s="84"/>
      <c r="B846" s="84"/>
    </row>
    <row r="847" ht="15.75" customHeight="1">
      <c r="A847" s="84"/>
      <c r="B847" s="84"/>
    </row>
    <row r="848" ht="15.75" customHeight="1">
      <c r="A848" s="84"/>
      <c r="B848" s="84"/>
    </row>
    <row r="849" ht="15.75" customHeight="1">
      <c r="A849" s="84"/>
      <c r="B849" s="84"/>
    </row>
    <row r="850" ht="15.75" customHeight="1">
      <c r="A850" s="84"/>
      <c r="B850" s="84"/>
    </row>
    <row r="851" ht="15.75" customHeight="1">
      <c r="A851" s="84"/>
      <c r="B851" s="84"/>
    </row>
    <row r="852" ht="15.75" customHeight="1">
      <c r="A852" s="84"/>
      <c r="B852" s="84"/>
    </row>
    <row r="853" ht="15.75" customHeight="1">
      <c r="A853" s="84"/>
      <c r="B853" s="84"/>
    </row>
    <row r="854" ht="15.75" customHeight="1">
      <c r="A854" s="84"/>
      <c r="B854" s="84"/>
    </row>
    <row r="855" ht="15.75" customHeight="1">
      <c r="A855" s="84"/>
      <c r="B855" s="84"/>
    </row>
    <row r="856" ht="15.75" customHeight="1">
      <c r="A856" s="84"/>
      <c r="B856" s="84"/>
    </row>
    <row r="857" ht="15.75" customHeight="1">
      <c r="A857" s="84"/>
      <c r="B857" s="84"/>
    </row>
    <row r="858" ht="15.75" customHeight="1">
      <c r="A858" s="84"/>
      <c r="B858" s="84"/>
    </row>
    <row r="859" ht="15.75" customHeight="1">
      <c r="A859" s="84"/>
      <c r="B859" s="84"/>
    </row>
    <row r="860" ht="15.75" customHeight="1">
      <c r="A860" s="84"/>
      <c r="B860" s="84"/>
    </row>
    <row r="861" ht="15.75" customHeight="1">
      <c r="A861" s="84"/>
      <c r="B861" s="84"/>
    </row>
    <row r="862" ht="15.75" customHeight="1">
      <c r="A862" s="84"/>
      <c r="B862" s="84"/>
    </row>
    <row r="863" ht="15.75" customHeight="1">
      <c r="A863" s="84"/>
      <c r="B863" s="84"/>
    </row>
    <row r="864" ht="15.75" customHeight="1">
      <c r="A864" s="84"/>
      <c r="B864" s="84"/>
    </row>
    <row r="865" ht="15.75" customHeight="1">
      <c r="A865" s="84"/>
      <c r="B865" s="84"/>
    </row>
    <row r="866" ht="15.75" customHeight="1">
      <c r="A866" s="84"/>
      <c r="B866" s="84"/>
    </row>
    <row r="867" ht="15.75" customHeight="1">
      <c r="A867" s="84"/>
      <c r="B867" s="84"/>
    </row>
    <row r="868" ht="15.75" customHeight="1">
      <c r="A868" s="84"/>
      <c r="B868" s="84"/>
    </row>
    <row r="869" ht="15.75" customHeight="1">
      <c r="A869" s="84"/>
      <c r="B869" s="84"/>
    </row>
    <row r="870" ht="15.75" customHeight="1">
      <c r="A870" s="84"/>
      <c r="B870" s="84"/>
    </row>
    <row r="871" ht="15.75" customHeight="1">
      <c r="A871" s="84"/>
      <c r="B871" s="84"/>
    </row>
    <row r="872" ht="15.75" customHeight="1">
      <c r="A872" s="84"/>
      <c r="B872" s="84"/>
    </row>
    <row r="873" ht="15.75" customHeight="1">
      <c r="A873" s="84"/>
      <c r="B873" s="84"/>
    </row>
    <row r="874" ht="15.75" customHeight="1">
      <c r="A874" s="84"/>
      <c r="B874" s="84"/>
    </row>
    <row r="875" ht="15.75" customHeight="1">
      <c r="A875" s="84"/>
      <c r="B875" s="84"/>
    </row>
    <row r="876" ht="15.75" customHeight="1">
      <c r="A876" s="84"/>
      <c r="B876" s="84"/>
    </row>
    <row r="877" ht="15.75" customHeight="1">
      <c r="A877" s="84"/>
      <c r="B877" s="84"/>
    </row>
    <row r="878" ht="15.75" customHeight="1">
      <c r="A878" s="84"/>
      <c r="B878" s="84"/>
    </row>
    <row r="879" ht="15.75" customHeight="1">
      <c r="A879" s="84"/>
      <c r="B879" s="84"/>
    </row>
    <row r="880" ht="15.75" customHeight="1">
      <c r="A880" s="84"/>
      <c r="B880" s="84"/>
    </row>
    <row r="881" ht="15.75" customHeight="1">
      <c r="A881" s="84"/>
      <c r="B881" s="84"/>
    </row>
    <row r="882" ht="15.75" customHeight="1">
      <c r="A882" s="84"/>
      <c r="B882" s="84"/>
    </row>
    <row r="883" ht="15.75" customHeight="1">
      <c r="A883" s="84"/>
      <c r="B883" s="84"/>
    </row>
    <row r="884" ht="15.75" customHeight="1">
      <c r="A884" s="84"/>
      <c r="B884" s="84"/>
    </row>
    <row r="885" ht="15.75" customHeight="1">
      <c r="A885" s="84"/>
      <c r="B885" s="84"/>
    </row>
    <row r="886" ht="15.75" customHeight="1">
      <c r="A886" s="84"/>
      <c r="B886" s="84"/>
    </row>
    <row r="887" ht="15.75" customHeight="1">
      <c r="A887" s="84"/>
      <c r="B887" s="84"/>
    </row>
    <row r="888" ht="15.75" customHeight="1">
      <c r="A888" s="84"/>
      <c r="B888" s="84"/>
    </row>
    <row r="889" ht="15.75" customHeight="1">
      <c r="A889" s="84"/>
      <c r="B889" s="84"/>
    </row>
    <row r="890" ht="15.75" customHeight="1">
      <c r="A890" s="84"/>
      <c r="B890" s="84"/>
    </row>
    <row r="891" ht="15.75" customHeight="1">
      <c r="A891" s="84"/>
      <c r="B891" s="84"/>
    </row>
    <row r="892" ht="15.75" customHeight="1">
      <c r="A892" s="84"/>
      <c r="B892" s="84"/>
    </row>
    <row r="893" ht="15.75" customHeight="1">
      <c r="A893" s="84"/>
      <c r="B893" s="84"/>
    </row>
    <row r="894" ht="15.75" customHeight="1">
      <c r="A894" s="84"/>
      <c r="B894" s="84"/>
    </row>
    <row r="895" ht="15.75" customHeight="1">
      <c r="A895" s="84"/>
      <c r="B895" s="84"/>
    </row>
    <row r="896" ht="15.75" customHeight="1">
      <c r="A896" s="84"/>
      <c r="B896" s="84"/>
    </row>
    <row r="897" ht="15.75" customHeight="1">
      <c r="A897" s="84"/>
      <c r="B897" s="84"/>
    </row>
    <row r="898" ht="15.75" customHeight="1">
      <c r="A898" s="84"/>
      <c r="B898" s="84"/>
    </row>
    <row r="899" ht="15.75" customHeight="1">
      <c r="A899" s="84"/>
      <c r="B899" s="84"/>
    </row>
    <row r="900" ht="15.75" customHeight="1">
      <c r="A900" s="84"/>
      <c r="B900" s="84"/>
    </row>
    <row r="901" ht="15.75" customHeight="1">
      <c r="A901" s="84"/>
      <c r="B901" s="84"/>
    </row>
    <row r="902" ht="15.75" customHeight="1">
      <c r="A902" s="84"/>
      <c r="B902" s="84"/>
    </row>
    <row r="903" ht="15.75" customHeight="1">
      <c r="A903" s="84"/>
      <c r="B903" s="84"/>
    </row>
    <row r="904" ht="15.75" customHeight="1">
      <c r="A904" s="84"/>
      <c r="B904" s="84"/>
    </row>
    <row r="905" ht="15.75" customHeight="1">
      <c r="A905" s="84"/>
      <c r="B905" s="84"/>
    </row>
    <row r="906" ht="15.75" customHeight="1">
      <c r="A906" s="84"/>
      <c r="B906" s="84"/>
    </row>
    <row r="907" ht="15.75" customHeight="1">
      <c r="A907" s="84"/>
      <c r="B907" s="84"/>
    </row>
    <row r="908" ht="15.75" customHeight="1">
      <c r="A908" s="84"/>
      <c r="B908" s="84"/>
    </row>
    <row r="909" ht="15.75" customHeight="1">
      <c r="A909" s="84"/>
      <c r="B909" s="84"/>
    </row>
    <row r="910" ht="15.75" customHeight="1">
      <c r="A910" s="84"/>
      <c r="B910" s="84"/>
    </row>
    <row r="911" ht="15.75" customHeight="1">
      <c r="A911" s="84"/>
      <c r="B911" s="84"/>
    </row>
    <row r="912" ht="15.75" customHeight="1">
      <c r="A912" s="84"/>
      <c r="B912" s="84"/>
    </row>
    <row r="913" ht="15.75" customHeight="1">
      <c r="A913" s="84"/>
      <c r="B913" s="84"/>
    </row>
    <row r="914" ht="15.75" customHeight="1">
      <c r="A914" s="84"/>
      <c r="B914" s="84"/>
    </row>
    <row r="915" ht="15.75" customHeight="1">
      <c r="A915" s="84"/>
      <c r="B915" s="84"/>
    </row>
    <row r="916" ht="15.75" customHeight="1">
      <c r="A916" s="84"/>
      <c r="B916" s="84"/>
    </row>
    <row r="917" ht="15.75" customHeight="1">
      <c r="A917" s="84"/>
      <c r="B917" s="84"/>
    </row>
    <row r="918" ht="15.75" customHeight="1">
      <c r="A918" s="84"/>
      <c r="B918" s="84"/>
    </row>
    <row r="919" ht="15.75" customHeight="1">
      <c r="A919" s="84"/>
      <c r="B919" s="84"/>
    </row>
    <row r="920" ht="15.75" customHeight="1">
      <c r="A920" s="84"/>
      <c r="B920" s="84"/>
    </row>
    <row r="921" ht="15.75" customHeight="1">
      <c r="A921" s="84"/>
      <c r="B921" s="84"/>
    </row>
    <row r="922" ht="15.75" customHeight="1">
      <c r="A922" s="84"/>
      <c r="B922" s="84"/>
    </row>
    <row r="923" ht="15.75" customHeight="1">
      <c r="A923" s="84"/>
      <c r="B923" s="84"/>
    </row>
    <row r="924" ht="15.75" customHeight="1">
      <c r="A924" s="84"/>
      <c r="B924" s="84"/>
    </row>
    <row r="925" ht="15.75" customHeight="1">
      <c r="A925" s="84"/>
      <c r="B925" s="84"/>
    </row>
    <row r="926" ht="15.75" customHeight="1">
      <c r="A926" s="84"/>
      <c r="B926" s="84"/>
    </row>
    <row r="927" ht="15.75" customHeight="1">
      <c r="A927" s="84"/>
      <c r="B927" s="84"/>
    </row>
    <row r="928" ht="15.75" customHeight="1">
      <c r="A928" s="84"/>
      <c r="B928" s="84"/>
    </row>
    <row r="929" ht="15.75" customHeight="1">
      <c r="A929" s="84"/>
      <c r="B929" s="84"/>
    </row>
    <row r="930" ht="15.75" customHeight="1">
      <c r="A930" s="84"/>
      <c r="B930" s="84"/>
    </row>
    <row r="931" ht="15.75" customHeight="1">
      <c r="A931" s="84"/>
      <c r="B931" s="84"/>
    </row>
    <row r="932" ht="15.75" customHeight="1">
      <c r="A932" s="84"/>
      <c r="B932" s="84"/>
    </row>
    <row r="933" ht="15.75" customHeight="1">
      <c r="A933" s="84"/>
      <c r="B933" s="84"/>
    </row>
    <row r="934" ht="15.75" customHeight="1">
      <c r="A934" s="84"/>
      <c r="B934" s="84"/>
    </row>
    <row r="935" ht="15.75" customHeight="1">
      <c r="A935" s="84"/>
      <c r="B935" s="84"/>
    </row>
    <row r="936" ht="15.75" customHeight="1">
      <c r="A936" s="84"/>
      <c r="B936" s="84"/>
    </row>
    <row r="937" ht="15.75" customHeight="1">
      <c r="A937" s="84"/>
      <c r="B937" s="84"/>
    </row>
    <row r="938" ht="15.75" customHeight="1">
      <c r="A938" s="84"/>
      <c r="B938" s="84"/>
    </row>
    <row r="939" ht="15.75" customHeight="1">
      <c r="A939" s="84"/>
      <c r="B939" s="84"/>
    </row>
    <row r="940" ht="15.75" customHeight="1">
      <c r="A940" s="84"/>
      <c r="B940" s="84"/>
    </row>
    <row r="941" ht="15.75" customHeight="1">
      <c r="A941" s="84"/>
      <c r="B941" s="84"/>
    </row>
    <row r="942" ht="15.75" customHeight="1">
      <c r="A942" s="84"/>
      <c r="B942" s="84"/>
    </row>
    <row r="943" ht="15.75" customHeight="1">
      <c r="A943" s="84"/>
      <c r="B943" s="84"/>
    </row>
    <row r="944" ht="15.75" customHeight="1">
      <c r="A944" s="84"/>
      <c r="B944" s="84"/>
    </row>
    <row r="945" ht="15.75" customHeight="1">
      <c r="A945" s="84"/>
      <c r="B945" s="84"/>
    </row>
    <row r="946" ht="15.75" customHeight="1">
      <c r="A946" s="84"/>
      <c r="B946" s="84"/>
    </row>
    <row r="947" ht="15.75" customHeight="1">
      <c r="A947" s="84"/>
      <c r="B947" s="84"/>
    </row>
    <row r="948" ht="15.75" customHeight="1">
      <c r="A948" s="84"/>
      <c r="B948" s="84"/>
    </row>
    <row r="949" ht="15.75" customHeight="1">
      <c r="A949" s="84"/>
      <c r="B949" s="84"/>
    </row>
    <row r="950" ht="15.75" customHeight="1">
      <c r="A950" s="84"/>
      <c r="B950" s="84"/>
    </row>
    <row r="951" ht="15.75" customHeight="1">
      <c r="A951" s="84"/>
      <c r="B951" s="84"/>
    </row>
    <row r="952" ht="15.75" customHeight="1">
      <c r="A952" s="84"/>
      <c r="B952" s="84"/>
    </row>
    <row r="953" ht="15.75" customHeight="1">
      <c r="A953" s="84"/>
      <c r="B953" s="84"/>
    </row>
    <row r="954" ht="15.75" customHeight="1">
      <c r="A954" s="84"/>
      <c r="B954" s="84"/>
    </row>
    <row r="955" ht="15.75" customHeight="1">
      <c r="A955" s="84"/>
      <c r="B955" s="84"/>
    </row>
    <row r="956" ht="15.75" customHeight="1">
      <c r="A956" s="84"/>
      <c r="B956" s="84"/>
    </row>
    <row r="957" ht="15.75" customHeight="1">
      <c r="A957" s="84"/>
      <c r="B957" s="84"/>
    </row>
    <row r="958" ht="15.75" customHeight="1">
      <c r="A958" s="84"/>
      <c r="B958" s="84"/>
    </row>
    <row r="959" ht="15.75" customHeight="1">
      <c r="A959" s="84"/>
      <c r="B959" s="84"/>
    </row>
    <row r="960" ht="15.75" customHeight="1">
      <c r="A960" s="84"/>
      <c r="B960" s="84"/>
    </row>
    <row r="961" ht="15.75" customHeight="1">
      <c r="A961" s="84"/>
      <c r="B961" s="84"/>
    </row>
    <row r="962" ht="15.75" customHeight="1">
      <c r="A962" s="84"/>
      <c r="B962" s="84"/>
    </row>
    <row r="963" ht="15.75" customHeight="1">
      <c r="A963" s="84"/>
      <c r="B963" s="84"/>
    </row>
    <row r="964" ht="15.75" customHeight="1">
      <c r="A964" s="84"/>
      <c r="B964" s="84"/>
    </row>
    <row r="965" ht="15.75" customHeight="1">
      <c r="A965" s="84"/>
      <c r="B965" s="84"/>
    </row>
    <row r="966" ht="15.75" customHeight="1">
      <c r="A966" s="84"/>
      <c r="B966" s="84"/>
    </row>
    <row r="967" ht="15.75" customHeight="1">
      <c r="A967" s="84"/>
      <c r="B967" s="84"/>
    </row>
    <row r="968" ht="15.75" customHeight="1">
      <c r="A968" s="84"/>
      <c r="B968" s="84"/>
    </row>
    <row r="969" ht="15.75" customHeight="1">
      <c r="A969" s="84"/>
      <c r="B969" s="84"/>
    </row>
    <row r="970" ht="15.75" customHeight="1">
      <c r="A970" s="84"/>
      <c r="B970" s="84"/>
    </row>
    <row r="971" ht="15.75" customHeight="1">
      <c r="A971" s="84"/>
      <c r="B971" s="84"/>
    </row>
    <row r="972" ht="15.75" customHeight="1">
      <c r="A972" s="84"/>
      <c r="B972" s="84"/>
    </row>
    <row r="973" ht="15.75" customHeight="1">
      <c r="A973" s="84"/>
      <c r="B973" s="84"/>
    </row>
    <row r="974" ht="15.75" customHeight="1">
      <c r="A974" s="84"/>
      <c r="B974" s="84"/>
    </row>
    <row r="975" ht="15.75" customHeight="1">
      <c r="A975" s="84"/>
      <c r="B975" s="84"/>
    </row>
    <row r="976" ht="15.75" customHeight="1">
      <c r="A976" s="84"/>
      <c r="B976" s="84"/>
    </row>
    <row r="977" ht="15.75" customHeight="1">
      <c r="A977" s="84"/>
      <c r="B977" s="84"/>
    </row>
    <row r="978" ht="15.75" customHeight="1">
      <c r="A978" s="84"/>
      <c r="B978" s="84"/>
    </row>
    <row r="979" ht="15.75" customHeight="1">
      <c r="A979" s="84"/>
      <c r="B979" s="84"/>
    </row>
    <row r="980" ht="15.75" customHeight="1">
      <c r="A980" s="84"/>
      <c r="B980" s="84"/>
    </row>
    <row r="981" ht="15.75" customHeight="1">
      <c r="A981" s="84"/>
      <c r="B981" s="84"/>
    </row>
    <row r="982" ht="15.75" customHeight="1">
      <c r="A982" s="84"/>
      <c r="B982" s="84"/>
    </row>
    <row r="983" ht="15.75" customHeight="1">
      <c r="A983" s="84"/>
      <c r="B983" s="84"/>
    </row>
    <row r="984" ht="15.75" customHeight="1">
      <c r="A984" s="84"/>
      <c r="B984" s="84"/>
    </row>
    <row r="985" ht="15.75" customHeight="1">
      <c r="A985" s="84"/>
      <c r="B985" s="84"/>
    </row>
    <row r="986" ht="15.75" customHeight="1">
      <c r="A986" s="84"/>
      <c r="B986" s="84"/>
    </row>
    <row r="987" ht="15.75" customHeight="1">
      <c r="A987" s="84"/>
      <c r="B987" s="84"/>
    </row>
    <row r="988" ht="15.75" customHeight="1">
      <c r="A988" s="84"/>
      <c r="B988" s="84"/>
    </row>
    <row r="989" ht="15.75" customHeight="1">
      <c r="A989" s="84"/>
      <c r="B989" s="84"/>
    </row>
    <row r="990" ht="15.75" customHeight="1">
      <c r="A990" s="84"/>
      <c r="B990" s="84"/>
    </row>
    <row r="991" ht="15.75" customHeight="1">
      <c r="A991" s="84"/>
      <c r="B991" s="84"/>
    </row>
    <row r="992" ht="15.75" customHeight="1">
      <c r="A992" s="84"/>
      <c r="B992" s="84"/>
    </row>
    <row r="993" ht="15.75" customHeight="1">
      <c r="A993" s="84"/>
      <c r="B993" s="84"/>
    </row>
    <row r="994" ht="15.75" customHeight="1">
      <c r="A994" s="84"/>
      <c r="B994" s="84"/>
    </row>
    <row r="995" ht="15.75" customHeight="1">
      <c r="A995" s="84"/>
      <c r="B995" s="84"/>
    </row>
    <row r="996" ht="15.75" customHeight="1">
      <c r="A996" s="84"/>
      <c r="B996" s="84"/>
    </row>
    <row r="997" ht="15.75" customHeight="1">
      <c r="A997" s="84"/>
      <c r="B997" s="84"/>
    </row>
    <row r="998" ht="15.75" customHeight="1">
      <c r="A998" s="84"/>
      <c r="B998" s="84"/>
    </row>
    <row r="999" ht="15.75" customHeight="1">
      <c r="A999" s="84"/>
      <c r="B999" s="84"/>
    </row>
    <row r="1000" ht="15.75" customHeight="1">
      <c r="A1000" s="84"/>
      <c r="B1000" s="84"/>
    </row>
    <row r="1001" ht="15.75" customHeight="1">
      <c r="A1001" s="84"/>
      <c r="B1001" s="84"/>
    </row>
    <row r="1002" ht="15.75" customHeight="1">
      <c r="A1002" s="84"/>
      <c r="B1002" s="84"/>
    </row>
    <row r="1003" ht="15.75" customHeight="1">
      <c r="A1003" s="84"/>
      <c r="B1003" s="84"/>
    </row>
  </sheetData>
  <mergeCells count="21">
    <mergeCell ref="A1:I1"/>
    <mergeCell ref="A2:I2"/>
    <mergeCell ref="A4:C4"/>
    <mergeCell ref="E4:K4"/>
    <mergeCell ref="A7:A9"/>
    <mergeCell ref="B7:B9"/>
    <mergeCell ref="B10:B12"/>
    <mergeCell ref="A22:A24"/>
    <mergeCell ref="B22:B24"/>
    <mergeCell ref="A25:A27"/>
    <mergeCell ref="B25:B27"/>
    <mergeCell ref="A29:K29"/>
    <mergeCell ref="A34:K35"/>
    <mergeCell ref="A36:K37"/>
    <mergeCell ref="A10:A12"/>
    <mergeCell ref="A13:A15"/>
    <mergeCell ref="B13:B15"/>
    <mergeCell ref="A16:A18"/>
    <mergeCell ref="B16:B18"/>
    <mergeCell ref="A19:A21"/>
    <mergeCell ref="B19:B21"/>
  </mergeCells>
  <printOptions/>
  <pageMargins bottom="1.0" footer="0.0" header="0.0" left="0.75" right="0.75" top="1.0"/>
  <pageSetup paperSize="9" orientation="portrait"/>
  <drawing r:id="rId1"/>
</worksheet>
</file>